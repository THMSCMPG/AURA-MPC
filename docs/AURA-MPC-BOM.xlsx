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thms_camp/Desktop/"/>
    </mc:Choice>
  </mc:AlternateContent>
  <xr:revisionPtr revIDLastSave="0" documentId="13_ncr:1_{B3F25F78-5E36-0A4F-B458-E77EC5CA5C97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BOM" sheetId="1" r:id="rId1"/>
    <sheet name="Physical Build &amp; Mou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22" i="2"/>
  <c r="G21" i="2"/>
  <c r="G19" i="2"/>
  <c r="G18" i="2"/>
  <c r="G16" i="2"/>
  <c r="G15" i="2"/>
  <c r="G13" i="2"/>
  <c r="G12" i="2"/>
  <c r="G11" i="2"/>
  <c r="G10" i="2"/>
  <c r="G9" i="2"/>
  <c r="G8" i="2"/>
  <c r="G7" i="2"/>
  <c r="G5" i="2"/>
  <c r="G19" i="1"/>
  <c r="G17" i="1"/>
  <c r="G16" i="1"/>
  <c r="G14" i="1"/>
  <c r="G13" i="1"/>
  <c r="G20" i="1" s="1"/>
  <c r="G21" i="1" s="1"/>
  <c r="G11" i="1"/>
  <c r="G10" i="1"/>
  <c r="G8" i="1"/>
  <c r="G6" i="1"/>
  <c r="G5" i="1"/>
  <c r="G26" i="2" l="1"/>
</calcChain>
</file>

<file path=xl/sharedStrings.xml><?xml version="1.0" encoding="utf-8"?>
<sst xmlns="http://schemas.openxmlformats.org/spreadsheetml/2006/main" count="181" uniqueCount="166">
  <si>
    <t>AURA-MFP  ·  Sensor Data Collection Board  ·  Bill of Materials</t>
  </si>
  <si>
    <t>Ref. Designator</t>
  </si>
  <si>
    <t>Component / Description</t>
  </si>
  <si>
    <t>Manufacturer / Vendor</t>
  </si>
  <si>
    <t>Part Number / SKU</t>
  </si>
  <si>
    <t>Qty</t>
  </si>
  <si>
    <t>Unit Price (USD)</t>
  </si>
  <si>
    <t>Ext. Price (USD)</t>
  </si>
  <si>
    <t>Purchase Link</t>
  </si>
  <si>
    <t>Notes</t>
  </si>
  <si>
    <t>THERMOCOUPLE CHAIN  ─  MAX31855 Breakout Boards + Type K Probes</t>
  </si>
  <si>
    <t>U1–U5</t>
  </si>
  <si>
    <t>MAX31855 Thermocouple Amplifier Breakout Board
(SOIC-8, 3.3 V reg, terminal block, ferrite bead included)</t>
  </si>
  <si>
    <t>Adafruit / DigiKey</t>
  </si>
  <si>
    <t>ADA269 / DigiKey #269</t>
  </si>
  <si>
    <t>https://www.digikey.com/en/products/detail/adafruit-industries-llc/269/4990749</t>
  </si>
  <si>
    <t>One per thermocouple channel. Includes cold-junction compensation. Shares SPI bus; each needs unique CS GPIO on Pico.</t>
  </si>
  <si>
    <t>TC1–TC5_AMB</t>
  </si>
  <si>
    <t>Type K Thermocouple Probe, Mini-Connector, 1.5 m
(−40 °C to +480 °C, stainless sheath)</t>
  </si>
  <si>
    <t>Generic / Amazon</t>
  </si>
  <si>
    <t>B08NP37JZR (5-pack)</t>
  </si>
  <si>
    <t>https://www.amazon.com/dp/B08NP37JZR</t>
  </si>
  <si>
    <t>5-pack covers all 5 channels (TC1–TC4 + TC5_AMB ambient). Mini K-type connector mates directly with Adafruit breakout terminal block adapters.</t>
  </si>
  <si>
    <t>ANALOG FRONT-END  ─  ADS1115 16-bit ADC</t>
  </si>
  <si>
    <t>U6</t>
  </si>
  <si>
    <t>ADS1115 16-bit 4-Ch I²C ADC Breakout (4-pack)
PGA ×1–×16, 860 SPS, I²C addr selectable</t>
  </si>
  <si>
    <t>Qoroos / Amazon</t>
  </si>
  <si>
    <t>B0DP43DDZG (4-pack)</t>
  </si>
  <si>
    <t>https://www.amazon.com/dp/B0DP43DDZG</t>
  </si>
  <si>
    <t>Only 1 board used; 3 spares. Receives analog signals from pyranometer and anemometer. VDD = 3.3 V. ADDR pin → GND = 0x48.</t>
  </si>
  <si>
    <t>ENVIRONMENTAL SENSORS  ─  Pyranometer + Anemometer</t>
  </si>
  <si>
    <t>PY1</t>
  </si>
  <si>
    <t>Solar Irradiance Pyranometer Sensor
0–2000 W/m², analog 0–5 V output, 9–30 V supply</t>
  </si>
  <si>
    <t>B0DGFVGJDQ</t>
  </si>
  <si>
    <t>https://www.amazon.com/dp/B0DGFVGJDQ</t>
  </si>
  <si>
    <t>Analog output feeds ADS1115 channel A0 via 124 Ω shunt divider. Requires separate 9–30 V supply rail. Calibrate against known reference before first use.</t>
  </si>
  <si>
    <t>AN1</t>
  </si>
  <si>
    <t>SparkFun Micro Weather Meter Kit v3.0 (Qwiic)
Anemometer + Wind Vane + Rain Gauge</t>
  </si>
  <si>
    <t>SparkFun / Amazon</t>
  </si>
  <si>
    <t>B084L5987Y / SEN-15901</t>
  </si>
  <si>
    <t>https://www.amazon.com/dp/B084L5987Y</t>
  </si>
  <si>
    <t>Anemometer SPD+/SPD− and vane DIR+/DIR− connect to ADS1115 ch A1/A2. Rain gauge on separate GPIO interrupt. Qwiic connector for optional I²C direct mode.</t>
  </si>
  <si>
    <t>PASSIVES  ─  Decoupling Capacitors</t>
  </si>
  <si>
    <t>C1–C10</t>
  </si>
  <si>
    <t>MLCC 100 nF / 50 V / X7R / 0603
Decoupling capacitor</t>
  </si>
  <si>
    <t>YAGEO / DigiKey</t>
  </si>
  <si>
    <t>CC0603MRX7R9BB104</t>
  </si>
  <si>
    <t>https://www.digikey.com/en/products/detail/yageo/CC0603MRX7R9BB104/5883825</t>
  </si>
  <si>
    <t>1 cap per IC VCC pin (5× MAX31855, 1× ADS1115) plus 4 spares. Place ≤ 3 mm from each VCC pin.</t>
  </si>
  <si>
    <t>C11–C15</t>
  </si>
  <si>
    <t>MLCC 10 µF / 10 V / X5R / 0603
Bulk bypass capacitor</t>
  </si>
  <si>
    <t>TDK / DigiKey</t>
  </si>
  <si>
    <t>C1608X5R1E106M080AC</t>
  </si>
  <si>
    <t>https://www.digikey.com/en/products/filter/ceramic-capacitors/60</t>
  </si>
  <si>
    <t>1 per power rail segment (3.3 V main bus, 3.3 V sensor, 5 V). Placed near regulators.</t>
  </si>
  <si>
    <t>PASSIVES  ─  Resistors</t>
  </si>
  <si>
    <t>R1–R3</t>
  </si>
  <si>
    <t>Resistor 124 Ω / 0603 / 1% / 0.1 W
Analog shunt divider (pyranometer + anemometer scaling)</t>
  </si>
  <si>
    <t>RC0603FR-07124RL</t>
  </si>
  <si>
    <t>https://www.digikey.com/en/products/detail/yageo/RC0603FR-07124RL/726881</t>
  </si>
  <si>
    <t>Per existing schematic BOM. Forms voltage divider from sensor 0–5 V output down to ADS1115 ±3.3 V input range. Verify divider ratio with actual sensor datasheet.</t>
  </si>
  <si>
    <t>R4–R5</t>
  </si>
  <si>
    <t>Resistor 4.7 kΩ / 0603 / 1% / 0.1 W
I²C pull-up (SDA + SCL)</t>
  </si>
  <si>
    <t>RC0603FR-074K7L</t>
  </si>
  <si>
    <t>https://www.digikey.com/en/products/detail/yageo/RC0603FR-074K7L/726843</t>
  </si>
  <si>
    <t>Required for I²C bus (ADS1115). The Adafruit MAX31855 boards are SPI-only; no I²C pull-ups needed for them.</t>
  </si>
  <si>
    <t>PASSIVES  ─  Ferrite Beads / EMI Suppression</t>
  </si>
  <si>
    <t>FB1–FB5</t>
  </si>
  <si>
    <t>Ferrite Bead Assortment (3.5 mm / 0.8 mm bore) — 100 pcs
EMI suppression on thermocouple lines</t>
  </si>
  <si>
    <t>BOJACK / Amazon</t>
  </si>
  <si>
    <t>B09C25PPBG</t>
  </si>
  <si>
    <t>https://www.amazon.com/dp/B09C25PPBG</t>
  </si>
  <si>
    <t>1 bead per MAX31855 VCC line (standard MAX31855 layout per Maxim app-note AN4450). Adafruit breakout already includes one; add externally if using bare IC.</t>
  </si>
  <si>
    <t>TOTAL ESTIMATED COST  (excl. shipping &amp; tax)</t>
  </si>
  <si>
    <t>total without passives:</t>
  </si>
  <si>
    <t>AURA-MFP  ·  Physical Build &amp; Panel Mount  ·  Bill of Materials</t>
  </si>
  <si>
    <t>SOLAR PANEL</t>
  </si>
  <si>
    <t>PV1</t>
  </si>
  <si>
    <t>100 W Monocrystalline Solar Panel  (36-cell, Voc≈22V, Isc≈5.8A, PMPP≈100W @ STC, η≈19.5%, known temp coeff β=−0.30 %/°C)</t>
  </si>
  <si>
    <t>Renogy / Amazon</t>
  </si>
  <si>
    <t>RNG-100D-SS</t>
  </si>
  <si>
    <t>https://www.amazon.com/dp/B01MSXR5SC</t>
  </si>
  <si>
    <t>Must have published datasheet with Isc, Voc, PMPP, β (T coeff), and NOCT. Renogy 100W mono satisfies this. Connects to thermocouple array (TC1–TC4 on corners). Confirm frame has standard M8 mounting holes.</t>
  </si>
  <si>
    <t>PANEL MOUNT STRUCTURE</t>
  </si>
  <si>
    <t>STR1</t>
  </si>
  <si>
    <t>80/20 T-Slot Aluminum Extrusion, 1"×1" (10-series), 48" length  — vertical mast / main upright</t>
  </si>
  <si>
    <t>80/20 Inc. / Amazon</t>
  </si>
  <si>
    <t>1010-48-LP</t>
  </si>
  <si>
    <t>https://www.amazon.com/dp/B07BLRN3BT</t>
  </si>
  <si>
    <t>2× for main upright and cross-arm. 10-series T-slot accepts standard M5 drop-in T-nuts. Cut to final lengths on site.</t>
  </si>
  <si>
    <t>STR2</t>
  </si>
  <si>
    <t>80/20 T-Slot Aluminum Extrusion, 1"×1" (10-series), 24" length  — panel tilt arm</t>
  </si>
  <si>
    <t>1010-24-LP</t>
  </si>
  <si>
    <t>2× shorter arms for panel tilt frame. Bolts to panel joint (PJ1) printed part.</t>
  </si>
  <si>
    <t>STR4</t>
  </si>
  <si>
    <t>80/20 End Cap Assortment (10-series, 1"×1") — 10-pack</t>
  </si>
  <si>
    <t>END-CAP-1010-10PK</t>
  </si>
  <si>
    <t>https://www.amazon.com/dp/B01MRDWMQL</t>
  </si>
  <si>
    <t>Caps exposed extrusion ends. Prevents water ingress into T-slot channels.</t>
  </si>
  <si>
    <t>STR5</t>
  </si>
  <si>
    <t>T-Slot Drop-In T-Nut, M5, 10-series — 50-pack  (for all extrusion connections)</t>
  </si>
  <si>
    <t>Befenybay / Amazon</t>
  </si>
  <si>
    <t>B07VF4N8YG</t>
  </si>
  <si>
    <t>https://www.amazon.com/dp/B07VF4N8YG</t>
  </si>
  <si>
    <t>50-pack covers all structural joints. Use with M5 button-head bolts (FK1).</t>
  </si>
  <si>
    <t>STR6</t>
  </si>
  <si>
    <t>M5 Stainless Button-Head Socket Bolt Assortment, 10/16/20/25mm — 120-pack</t>
  </si>
  <si>
    <t>iExcell / Amazon</t>
  </si>
  <si>
    <t>B07MQHM98L</t>
  </si>
  <si>
    <t>https://www.amazon.com/dp/B07MQHM98L</t>
  </si>
  <si>
    <t>Stainless for outdoor corrosion resistance. Mates with T-nuts (STR5) for all structural joints.</t>
  </si>
  <si>
    <t>STR7</t>
  </si>
  <si>
    <t>Steel Flange-Mount Baseplate, 6"×6"×3/16"  (drill for ground anchor bolts)</t>
  </si>
  <si>
    <t>Generic / Local hardware</t>
  </si>
  <si>
    <t>STEEL-BASE-6X6</t>
  </si>
  <si>
    <t>https://www.homedepot.com</t>
  </si>
  <si>
    <t>Ground anchor for mast. Drill 4× 3/8" holes for ground anchors or concrete anchors. Source locally at hardware store.</t>
  </si>
  <si>
    <t>STR8</t>
  </si>
  <si>
    <t>Ground Anchor / Earth Stake Kit, 18" galvanized  — 4-pack</t>
  </si>
  <si>
    <t>Everbilt / Home Depot</t>
  </si>
  <si>
    <t>HDX-ANCHOR-4PK</t>
  </si>
  <si>
    <t>https://www.homedepot.com/p/205127950</t>
  </si>
  <si>
    <t>Secures baseplate for outdoor experimental deployment. 4 stakes per installation. Suitable for grass/soil field sites.</t>
  </si>
  <si>
    <t>POWER SUPPLY &amp; CONDITIONING</t>
  </si>
  <si>
    <t>PSU1</t>
  </si>
  <si>
    <t>USB-C 5V 3A Weatherproof Power Supply, outdoor rated  (powers both Pis via USB)</t>
  </si>
  <si>
    <t>MEAN WELL / Amazon</t>
  </si>
  <si>
    <t>GS18U05-P1J</t>
  </si>
  <si>
    <t>https://www.amazon.com/dp/B08RJBL7TB</t>
  </si>
  <si>
    <t>Primary 5V supply for RPi 3B+ and RPi Pico. Outdoor rated (IP-52 or better). If near an outlet; otherwise see PSU2 for battery option.</t>
  </si>
  <si>
    <t>PSU2</t>
  </si>
  <si>
    <t>DC-DC Boost Converter, 5V → 12V, 3A, adjustable (for pyranometer 9-30V rail)</t>
  </si>
  <si>
    <t>DROK / Amazon</t>
  </si>
  <si>
    <t>B00INRGM2S</t>
  </si>
  <si>
    <t>https://www.amazon.com/dp/B00INRGM2S</t>
  </si>
  <si>
    <t>Pyranometer requires 9-30V supply. Converts Pico/Pi 5V USB rail to 12V. Set output with trim pot before connecting. Max current draw of pyranometer is ~50mA.</t>
  </si>
  <si>
    <t>CBL2</t>
  </si>
  <si>
    <t>USB-A to USB-Micro-B Cable, 10ft, outdoor UV-resistant — 2-pack</t>
  </si>
  <si>
    <t>Anker / Amazon</t>
  </si>
  <si>
    <t>A8023</t>
  </si>
  <si>
    <t>https://www.amazon.com/dp/B00NH13G5O</t>
  </si>
  <si>
    <t>Pi 3B+ ↔ Pico power/UART link. UV-resistant jacket for outdoor routing. Route through conduit (CBL4) for additional protection.</t>
  </si>
  <si>
    <t>CBL5</t>
  </si>
  <si>
    <t>Screw Terminal Block Strip, 12-position, 5.08mm pitch, 300V/16A — 2-pack</t>
  </si>
  <si>
    <t>Dinkle / Amazon</t>
  </si>
  <si>
    <t>B01C50CZDA</t>
  </si>
  <si>
    <t>https://www.amazon.com/dp/B01C50CZDA</t>
  </si>
  <si>
    <t>Inside enclosures for clean wire termination of thermocouple wires and power distribution. DIN rail mount (ENC4).</t>
  </si>
  <si>
    <t>FASTENER &amp; MISC HARDWARE</t>
  </si>
  <si>
    <t>HW4</t>
  </si>
  <si>
    <t>Velcro Cable Ties, 8" — 100-pack  (inside enclosures)</t>
  </si>
  <si>
    <t>VELCRO Brand / Amazon</t>
  </si>
  <si>
    <t>B001E1Y5O6</t>
  </si>
  <si>
    <t>https://www.amazon.com/dp/B001E1Y5O6</t>
  </si>
  <si>
    <t>Reusable cable management inside weatherproof enclosures. Avoids damaging cable jackets that zip-ties can cause.</t>
  </si>
  <si>
    <t>HW5</t>
  </si>
  <si>
    <t>Anti-vibration Rubber Grommets, M4/M5/M6 assortment — 100-pack</t>
  </si>
  <si>
    <t>Heyous / Amazon</t>
  </si>
  <si>
    <t>B09NB8LHFT</t>
  </si>
  <si>
    <t>https://www.amazon.com/dp/B09NB8LHFT</t>
  </si>
  <si>
    <t>Vibration isolation for sensor board mounting in enclosure. Reduces wind-induced vibration noise on thermocouple measurements.</t>
  </si>
  <si>
    <t>TOTAL ESTIMATED COST  (Physical Build, excl. shipping &amp; tax)</t>
  </si>
  <si>
    <t>Electronics BOM Total  (from Sheet: BOM)</t>
  </si>
  <si>
    <t>GRAND TOTAL (Physical Build + Electronics)</t>
  </si>
  <si>
    <t>See Sheet: BOM for itemized breakdown. Value pulled from BOM!G38.</t>
  </si>
  <si>
    <t>CABLING &amp; WIRING (OUTDOOR) - NEED TO EVALUATE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</si>
</sst>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AAAAAA"/>
      <name val="Arial"/>
      <family val="2"/>
    </font>
    <font>
      <b/>
      <sz val="10"/>
      <color rgb="FFFFFFFF"/>
      <name val="Arial"/>
      <family val="2"/>
    </font>
    <font>
      <sz val="10"/>
      <color rgb="FF1A1A2E"/>
      <name val="Arial"/>
      <family val="2"/>
    </font>
    <font>
      <b/>
      <sz val="10"/>
      <color rgb="FF1A1A2E"/>
      <name val="Arial"/>
      <family val="2"/>
    </font>
    <font>
      <u/>
      <sz val="10"/>
      <color rgb="FF4FC3F7"/>
      <name val="Arial"/>
      <family val="2"/>
    </font>
    <font>
      <b/>
      <sz val="11"/>
      <color rgb="FFFFFFFF"/>
      <name val="Arial"/>
      <family val="2"/>
    </font>
    <font>
      <b/>
      <sz val="9"/>
      <color rgb="FF1A1A2E"/>
      <name val="Arial"/>
      <family val="2"/>
    </font>
    <font>
      <sz val="9"/>
      <color rgb="FF1A1A2E"/>
      <name val="Arial"/>
      <family val="2"/>
    </font>
    <font>
      <u/>
      <sz val="11"/>
      <color theme="10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u/>
      <sz val="10"/>
      <color rgb="FF0563C1"/>
      <name val="Arial"/>
      <family val="2"/>
    </font>
    <font>
      <b/>
      <sz val="11"/>
      <color rgb="FF0000FF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DF5"/>
      </patternFill>
    </fill>
    <fill>
      <patternFill patternType="solid">
        <fgColor rgb="FFF2F7FF"/>
      </patternFill>
    </fill>
    <fill>
      <patternFill patternType="solid">
        <fgColor rgb="FF1B5E20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555555"/>
      </top>
      <bottom style="medium">
        <color rgb="FF555555"/>
      </bottom>
      <diagonal/>
    </border>
    <border>
      <left/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medium">
        <color rgb="FF555555"/>
      </top>
      <bottom/>
      <diagonal/>
    </border>
    <border>
      <left style="medium">
        <color rgb="FF555555"/>
      </left>
      <right/>
      <top style="medium">
        <color rgb="FF555555"/>
      </top>
      <bottom/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2">
    <xf numFmtId="0" fontId="0" fillId="0" borderId="0"/>
    <xf numFmtId="0" fontId="10" fillId="0" borderId="0"/>
  </cellStyleXfs>
  <cellXfs count="64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10" fillId="2" borderId="2" xfId="1" applyFill="1" applyBorder="1" applyAlignment="1">
      <alignment horizontal="left" vertical="center" wrapText="1"/>
    </xf>
    <xf numFmtId="0" fontId="10" fillId="3" borderId="2" xfId="1" applyFill="1" applyBorder="1" applyAlignment="1">
      <alignment horizontal="left" vertical="center" wrapText="1"/>
    </xf>
    <xf numFmtId="4" fontId="0" fillId="0" borderId="0" xfId="0" applyNumberFormat="1"/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top" wrapText="1"/>
    </xf>
    <xf numFmtId="164" fontId="15" fillId="0" borderId="7" xfId="0" applyNumberFormat="1" applyFont="1" applyBorder="1" applyAlignment="1">
      <alignment vertical="top"/>
    </xf>
    <xf numFmtId="164" fontId="16" fillId="0" borderId="7" xfId="0" applyNumberFormat="1" applyFont="1" applyBorder="1" applyAlignment="1">
      <alignment vertical="top"/>
    </xf>
    <xf numFmtId="0" fontId="17" fillId="0" borderId="7" xfId="0" applyFont="1" applyBorder="1" applyAlignment="1">
      <alignment vertical="top" wrapText="1"/>
    </xf>
    <xf numFmtId="0" fontId="14" fillId="4" borderId="7" xfId="0" applyFont="1" applyFill="1" applyBorder="1" applyAlignment="1">
      <alignment vertical="top"/>
    </xf>
    <xf numFmtId="0" fontId="14" fillId="4" borderId="7" xfId="0" applyFont="1" applyFill="1" applyBorder="1" applyAlignment="1">
      <alignment vertical="top" wrapText="1"/>
    </xf>
    <xf numFmtId="0" fontId="0" fillId="5" borderId="7" xfId="0" applyFill="1" applyBorder="1"/>
    <xf numFmtId="164" fontId="21" fillId="5" borderId="7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0" fillId="8" borderId="1" xfId="0" applyFill="1" applyBorder="1"/>
    <xf numFmtId="0" fontId="0" fillId="8" borderId="7" xfId="0" applyFill="1" applyBorder="1"/>
    <xf numFmtId="164" fontId="18" fillId="8" borderId="7" xfId="0" applyNumberFormat="1" applyFont="1" applyFill="1" applyBorder="1"/>
    <xf numFmtId="0" fontId="19" fillId="8" borderId="7" xfId="0" applyFont="1" applyFill="1" applyBorder="1"/>
    <xf numFmtId="0" fontId="11" fillId="7" borderId="0" xfId="0" applyFont="1" applyFill="1" applyAlignment="1">
      <alignment horizontal="center" vertical="center" wrapText="1"/>
    </xf>
    <xf numFmtId="0" fontId="0" fillId="7" borderId="0" xfId="0" applyFill="1"/>
    <xf numFmtId="0" fontId="12" fillId="7" borderId="0" xfId="0" applyFont="1" applyFill="1" applyAlignment="1">
      <alignment horizontal="center"/>
    </xf>
    <xf numFmtId="0" fontId="0" fillId="0" borderId="0" xfId="0"/>
    <xf numFmtId="0" fontId="20" fillId="5" borderId="7" xfId="0" applyFont="1" applyFill="1" applyBorder="1" applyAlignment="1">
      <alignment horizontal="right"/>
    </xf>
    <xf numFmtId="0" fontId="0" fillId="5" borderId="7" xfId="0" applyFill="1" applyBorder="1"/>
    <xf numFmtId="0" fontId="1" fillId="7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0" fillId="8" borderId="5" xfId="0" applyFill="1" applyBorder="1"/>
    <xf numFmtId="0" fontId="0" fillId="8" borderId="6" xfId="0" applyFill="1" applyBorder="1"/>
    <xf numFmtId="0" fontId="0" fillId="0" borderId="0" xfId="0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right" vertical="center"/>
    </xf>
    <xf numFmtId="0" fontId="10" fillId="0" borderId="0" xfId="1"/>
    <xf numFmtId="0" fontId="24" fillId="8" borderId="7" xfId="0" applyFont="1" applyFill="1" applyBorder="1" applyAlignment="1">
      <alignment horizontal="left" vertical="center"/>
    </xf>
    <xf numFmtId="0" fontId="25" fillId="8" borderId="0" xfId="0" applyFont="1" applyFill="1"/>
    <xf numFmtId="164" fontId="26" fillId="8" borderId="1" xfId="0" applyNumberFormat="1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vertical="top"/>
    </xf>
    <xf numFmtId="0" fontId="13" fillId="0" borderId="7" xfId="0" applyFont="1" applyFill="1" applyBorder="1" applyAlignment="1">
      <alignment horizontal="left"/>
    </xf>
    <xf numFmtId="0" fontId="0" fillId="0" borderId="0" xfId="0" applyFill="1"/>
    <xf numFmtId="0" fontId="23" fillId="0" borderId="7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9" xfId="0" applyFill="1" applyBorder="1" applyAlignment="1"/>
    <xf numFmtId="0" fontId="9" fillId="0" borderId="8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0" xfId="0" applyBorder="1"/>
    <xf numFmtId="0" fontId="24" fillId="8" borderId="7" xfId="0" applyFont="1" applyFill="1" applyBorder="1" applyAlignment="1">
      <alignment horizontal="right"/>
    </xf>
    <xf numFmtId="0" fontId="25" fillId="8" borderId="7" xfId="0" applyFont="1" applyFill="1" applyBorder="1"/>
    <xf numFmtId="164" fontId="27" fillId="8" borderId="7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DP43DDZG" TargetMode="External"/><Relationship Id="rId2" Type="http://schemas.openxmlformats.org/officeDocument/2006/relationships/hyperlink" Target="https://www.amazon.com/dp/B08NP37JZR" TargetMode="External"/><Relationship Id="rId1" Type="http://schemas.openxmlformats.org/officeDocument/2006/relationships/hyperlink" Target="https://www.digikey.com/en/products/detail/adafruit-industries-llc/269/4990749" TargetMode="External"/><Relationship Id="rId5" Type="http://schemas.openxmlformats.org/officeDocument/2006/relationships/hyperlink" Target="https://www.amazon.com/dp/B084L5987Y" TargetMode="External"/><Relationship Id="rId4" Type="http://schemas.openxmlformats.org/officeDocument/2006/relationships/hyperlink" Target="https://www.amazon.com/dp/B0DGFVGJD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1C50CZ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pane ySplit="3" topLeftCell="A8" activePane="bottomLeft" state="frozen"/>
      <selection pane="bottomLeft" activeCell="F32" sqref="F32"/>
    </sheetView>
  </sheetViews>
  <sheetFormatPr baseColWidth="10" defaultColWidth="8.83203125" defaultRowHeight="15" x14ac:dyDescent="0.2"/>
  <cols>
    <col min="1" max="1" width="20" customWidth="1"/>
    <col min="2" max="2" width="38" customWidth="1"/>
    <col min="3" max="3" width="22" customWidth="1"/>
    <col min="4" max="4" width="28" customWidth="1"/>
    <col min="5" max="5" width="8" customWidth="1"/>
    <col min="6" max="7" width="14" customWidth="1"/>
    <col min="8" max="8" width="40" customWidth="1"/>
    <col min="9" max="9" width="42" customWidth="1"/>
  </cols>
  <sheetData>
    <row r="1" spans="1:9" ht="50" customHeight="1" x14ac:dyDescent="0.2">
      <c r="A1" s="35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">
      <c r="A2" s="40"/>
      <c r="B2" s="30"/>
      <c r="C2" s="30"/>
      <c r="D2" s="30"/>
      <c r="E2" s="30"/>
      <c r="F2" s="30"/>
      <c r="G2" s="30"/>
      <c r="H2" s="30"/>
      <c r="I2" s="30"/>
    </row>
    <row r="3" spans="1:9" ht="32" customHeight="1" x14ac:dyDescent="0.2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9</v>
      </c>
    </row>
    <row r="4" spans="1:9" ht="22" customHeight="1" x14ac:dyDescent="0.2">
      <c r="A4" s="36" t="s">
        <v>10</v>
      </c>
      <c r="B4" s="37"/>
      <c r="C4" s="37"/>
      <c r="D4" s="37"/>
      <c r="E4" s="37"/>
      <c r="F4" s="37"/>
      <c r="G4" s="37"/>
      <c r="H4" s="37"/>
      <c r="I4" s="38"/>
    </row>
    <row r="5" spans="1:9" ht="44" customHeight="1" x14ac:dyDescent="0.2">
      <c r="A5" s="1" t="s">
        <v>11</v>
      </c>
      <c r="B5" s="2" t="s">
        <v>12</v>
      </c>
      <c r="C5" s="2" t="s">
        <v>13</v>
      </c>
      <c r="D5" s="2" t="s">
        <v>14</v>
      </c>
      <c r="E5" s="1">
        <v>5</v>
      </c>
      <c r="F5" s="3">
        <v>14.95</v>
      </c>
      <c r="G5" s="4">
        <f>E5*F5</f>
        <v>74.75</v>
      </c>
      <c r="H5" s="11" t="s">
        <v>15</v>
      </c>
      <c r="I5" s="2" t="s">
        <v>16</v>
      </c>
    </row>
    <row r="6" spans="1:9" ht="44" customHeight="1" x14ac:dyDescent="0.2">
      <c r="A6" s="6" t="s">
        <v>17</v>
      </c>
      <c r="B6" s="7" t="s">
        <v>18</v>
      </c>
      <c r="C6" s="7" t="s">
        <v>19</v>
      </c>
      <c r="D6" s="7" t="s">
        <v>20</v>
      </c>
      <c r="E6" s="6">
        <v>1</v>
      </c>
      <c r="F6" s="8">
        <v>12.99</v>
      </c>
      <c r="G6" s="9">
        <f>E6*F6</f>
        <v>12.99</v>
      </c>
      <c r="H6" s="12" t="s">
        <v>21</v>
      </c>
      <c r="I6" s="7" t="s">
        <v>22</v>
      </c>
    </row>
    <row r="7" spans="1:9" ht="22" customHeight="1" x14ac:dyDescent="0.2">
      <c r="A7" s="36" t="s">
        <v>23</v>
      </c>
      <c r="B7" s="37"/>
      <c r="C7" s="37"/>
      <c r="D7" s="37"/>
      <c r="E7" s="37"/>
      <c r="F7" s="37"/>
      <c r="G7" s="37"/>
      <c r="H7" s="37"/>
      <c r="I7" s="38"/>
    </row>
    <row r="8" spans="1:9" ht="44" customHeight="1" x14ac:dyDescent="0.2">
      <c r="A8" s="6" t="s">
        <v>24</v>
      </c>
      <c r="B8" s="7" t="s">
        <v>25</v>
      </c>
      <c r="C8" s="7" t="s">
        <v>26</v>
      </c>
      <c r="D8" s="7" t="s">
        <v>27</v>
      </c>
      <c r="E8" s="6">
        <v>1</v>
      </c>
      <c r="F8" s="8">
        <v>8.99</v>
      </c>
      <c r="G8" s="9">
        <f>E8*F8</f>
        <v>8.99</v>
      </c>
      <c r="H8" s="12" t="s">
        <v>28</v>
      </c>
      <c r="I8" s="7" t="s">
        <v>29</v>
      </c>
    </row>
    <row r="9" spans="1:9" ht="22" customHeight="1" x14ac:dyDescent="0.2">
      <c r="A9" s="36" t="s">
        <v>30</v>
      </c>
      <c r="B9" s="37"/>
      <c r="C9" s="37"/>
      <c r="D9" s="37"/>
      <c r="E9" s="37"/>
      <c r="F9" s="37"/>
      <c r="G9" s="37"/>
      <c r="H9" s="37"/>
      <c r="I9" s="38"/>
    </row>
    <row r="10" spans="1:9" ht="44" customHeight="1" x14ac:dyDescent="0.2">
      <c r="A10" s="6" t="s">
        <v>31</v>
      </c>
      <c r="B10" s="7" t="s">
        <v>32</v>
      </c>
      <c r="C10" s="7" t="s">
        <v>19</v>
      </c>
      <c r="D10" s="7" t="s">
        <v>33</v>
      </c>
      <c r="E10" s="6">
        <v>1</v>
      </c>
      <c r="F10" s="8">
        <v>58.99</v>
      </c>
      <c r="G10" s="9">
        <f>E10*F10</f>
        <v>58.99</v>
      </c>
      <c r="H10" s="12" t="s">
        <v>34</v>
      </c>
      <c r="I10" s="7" t="s">
        <v>35</v>
      </c>
    </row>
    <row r="11" spans="1:9" ht="44" customHeight="1" x14ac:dyDescent="0.2">
      <c r="A11" s="1" t="s">
        <v>36</v>
      </c>
      <c r="B11" s="2" t="s">
        <v>37</v>
      </c>
      <c r="C11" s="2" t="s">
        <v>38</v>
      </c>
      <c r="D11" s="2" t="s">
        <v>39</v>
      </c>
      <c r="E11" s="1">
        <v>1</v>
      </c>
      <c r="F11" s="3">
        <v>79.95</v>
      </c>
      <c r="G11" s="4">
        <f>E11*F11</f>
        <v>79.95</v>
      </c>
      <c r="H11" s="11" t="s">
        <v>40</v>
      </c>
      <c r="I11" s="2" t="s">
        <v>41</v>
      </c>
    </row>
    <row r="12" spans="1:9" ht="22" customHeight="1" x14ac:dyDescent="0.2">
      <c r="A12" s="36" t="s">
        <v>42</v>
      </c>
      <c r="B12" s="37"/>
      <c r="C12" s="37"/>
      <c r="D12" s="37"/>
      <c r="E12" s="37"/>
      <c r="F12" s="37"/>
      <c r="G12" s="37"/>
      <c r="H12" s="37"/>
      <c r="I12" s="38"/>
    </row>
    <row r="13" spans="1:9" ht="44" customHeight="1" x14ac:dyDescent="0.2">
      <c r="A13" s="1" t="s">
        <v>43</v>
      </c>
      <c r="B13" s="2" t="s">
        <v>44</v>
      </c>
      <c r="C13" s="2" t="s">
        <v>45</v>
      </c>
      <c r="D13" s="2" t="s">
        <v>46</v>
      </c>
      <c r="E13" s="1">
        <v>10</v>
      </c>
      <c r="F13" s="3">
        <v>0.1</v>
      </c>
      <c r="G13" s="4">
        <f>E13*F13</f>
        <v>1</v>
      </c>
      <c r="H13" s="5" t="s">
        <v>47</v>
      </c>
      <c r="I13" s="2" t="s">
        <v>48</v>
      </c>
    </row>
    <row r="14" spans="1:9" ht="44" customHeight="1" x14ac:dyDescent="0.2">
      <c r="A14" s="6" t="s">
        <v>49</v>
      </c>
      <c r="B14" s="7" t="s">
        <v>50</v>
      </c>
      <c r="C14" s="7" t="s">
        <v>51</v>
      </c>
      <c r="D14" s="7" t="s">
        <v>52</v>
      </c>
      <c r="E14" s="6">
        <v>5</v>
      </c>
      <c r="F14" s="8">
        <v>0.35</v>
      </c>
      <c r="G14" s="9">
        <f>E14*F14</f>
        <v>1.75</v>
      </c>
      <c r="H14" s="10" t="s">
        <v>53</v>
      </c>
      <c r="I14" s="7" t="s">
        <v>54</v>
      </c>
    </row>
    <row r="15" spans="1:9" ht="22" customHeight="1" x14ac:dyDescent="0.2">
      <c r="A15" s="36" t="s">
        <v>55</v>
      </c>
      <c r="B15" s="37"/>
      <c r="C15" s="37"/>
      <c r="D15" s="37"/>
      <c r="E15" s="37"/>
      <c r="F15" s="37"/>
      <c r="G15" s="37"/>
      <c r="H15" s="37"/>
      <c r="I15" s="38"/>
    </row>
    <row r="16" spans="1:9" ht="44" customHeight="1" x14ac:dyDescent="0.2">
      <c r="A16" s="6" t="s">
        <v>56</v>
      </c>
      <c r="B16" s="7" t="s">
        <v>57</v>
      </c>
      <c r="C16" s="7" t="s">
        <v>45</v>
      </c>
      <c r="D16" s="7" t="s">
        <v>58</v>
      </c>
      <c r="E16" s="6">
        <v>3</v>
      </c>
      <c r="F16" s="8">
        <v>0.1</v>
      </c>
      <c r="G16" s="9">
        <f>E16*F16</f>
        <v>0.30000000000000004</v>
      </c>
      <c r="H16" s="10" t="s">
        <v>59</v>
      </c>
      <c r="I16" s="7" t="s">
        <v>60</v>
      </c>
    </row>
    <row r="17" spans="1:10" ht="44" customHeight="1" x14ac:dyDescent="0.2">
      <c r="A17" s="1" t="s">
        <v>61</v>
      </c>
      <c r="B17" s="2" t="s">
        <v>62</v>
      </c>
      <c r="C17" s="2" t="s">
        <v>45</v>
      </c>
      <c r="D17" s="2" t="s">
        <v>63</v>
      </c>
      <c r="E17" s="1">
        <v>2</v>
      </c>
      <c r="F17" s="3">
        <v>0.1</v>
      </c>
      <c r="G17" s="4">
        <f>E17*F17</f>
        <v>0.2</v>
      </c>
      <c r="H17" s="5" t="s">
        <v>64</v>
      </c>
      <c r="I17" s="2" t="s">
        <v>65</v>
      </c>
    </row>
    <row r="18" spans="1:10" ht="22" customHeight="1" x14ac:dyDescent="0.2">
      <c r="A18" s="36" t="s">
        <v>66</v>
      </c>
      <c r="B18" s="37"/>
      <c r="C18" s="37"/>
      <c r="D18" s="37"/>
      <c r="E18" s="37"/>
      <c r="F18" s="37"/>
      <c r="G18" s="37"/>
      <c r="H18" s="37"/>
      <c r="I18" s="38"/>
    </row>
    <row r="19" spans="1:10" ht="44" customHeight="1" x14ac:dyDescent="0.2">
      <c r="A19" s="1" t="s">
        <v>67</v>
      </c>
      <c r="B19" s="2" t="s">
        <v>68</v>
      </c>
      <c r="C19" s="2" t="s">
        <v>69</v>
      </c>
      <c r="D19" s="2" t="s">
        <v>70</v>
      </c>
      <c r="E19" s="1">
        <v>1</v>
      </c>
      <c r="F19" s="3">
        <v>7.99</v>
      </c>
      <c r="G19" s="4">
        <f>E19*F19</f>
        <v>7.99</v>
      </c>
      <c r="H19" s="5" t="s">
        <v>71</v>
      </c>
      <c r="I19" s="2" t="s">
        <v>72</v>
      </c>
    </row>
    <row r="20" spans="1:10" ht="28" customHeight="1" x14ac:dyDescent="0.2">
      <c r="A20" s="41" t="s">
        <v>73</v>
      </c>
      <c r="B20" s="37"/>
      <c r="C20" s="37"/>
      <c r="D20" s="37"/>
      <c r="E20" s="37"/>
      <c r="F20" s="38"/>
      <c r="G20" s="45">
        <f>SUM(G5,G6,G8,G10,G11,G13,G14,G16,G17,G19)</f>
        <v>246.91000000000003</v>
      </c>
      <c r="H20" s="25"/>
      <c r="I20" s="25"/>
    </row>
    <row r="21" spans="1:10" ht="16" thickBot="1" x14ac:dyDescent="0.25">
      <c r="D21" s="39" t="s">
        <v>74</v>
      </c>
      <c r="E21" s="32"/>
      <c r="F21" s="32"/>
      <c r="G21" s="13">
        <f>G20-G19-G17-G16-G14-G13</f>
        <v>235.67000000000002</v>
      </c>
    </row>
    <row r="22" spans="1:10" x14ac:dyDescent="0.2">
      <c r="A22" s="57"/>
      <c r="B22" s="54"/>
      <c r="C22" s="54"/>
      <c r="D22" s="54"/>
      <c r="E22" s="54"/>
      <c r="F22" s="54"/>
      <c r="G22" s="54"/>
      <c r="H22" s="54"/>
      <c r="I22" s="54"/>
      <c r="J22" s="60"/>
    </row>
    <row r="23" spans="1:10" ht="20" customHeight="1" x14ac:dyDescent="0.2">
      <c r="A23" s="56"/>
      <c r="B23" s="55"/>
      <c r="C23" s="58"/>
      <c r="D23" s="58"/>
      <c r="E23" s="58"/>
      <c r="F23" s="58"/>
      <c r="G23" s="58"/>
      <c r="H23" s="58"/>
      <c r="I23" s="59"/>
    </row>
    <row r="24" spans="1:10" ht="20" customHeight="1" x14ac:dyDescent="0.2">
      <c r="A24" s="50"/>
      <c r="B24" s="51"/>
      <c r="C24" s="52"/>
      <c r="D24" s="52"/>
      <c r="E24" s="52"/>
      <c r="F24" s="52"/>
      <c r="G24" s="52"/>
      <c r="H24" s="52"/>
      <c r="I24" s="53"/>
    </row>
    <row r="25" spans="1:10" ht="20" customHeight="1" x14ac:dyDescent="0.2">
      <c r="A25" s="50"/>
      <c r="B25" s="51"/>
      <c r="C25" s="52"/>
      <c r="D25" s="52"/>
      <c r="E25" s="52"/>
      <c r="F25" s="52"/>
      <c r="G25" s="52"/>
      <c r="H25" s="52"/>
      <c r="I25" s="53"/>
    </row>
    <row r="26" spans="1:10" ht="20" customHeight="1" x14ac:dyDescent="0.2">
      <c r="A26" s="50"/>
      <c r="B26" s="51"/>
      <c r="C26" s="52"/>
      <c r="D26" s="52"/>
      <c r="E26" s="52"/>
      <c r="F26" s="52"/>
      <c r="G26" s="52"/>
      <c r="H26" s="52"/>
      <c r="I26" s="53"/>
    </row>
    <row r="27" spans="1:10" ht="20" customHeight="1" x14ac:dyDescent="0.2">
      <c r="A27" s="50"/>
      <c r="B27" s="51"/>
      <c r="C27" s="52"/>
      <c r="D27" s="52"/>
      <c r="E27" s="52"/>
      <c r="F27" s="52"/>
      <c r="G27" s="52"/>
      <c r="H27" s="52"/>
      <c r="I27" s="53"/>
    </row>
    <row r="28" spans="1:10" ht="20" customHeight="1" x14ac:dyDescent="0.2">
      <c r="A28" s="50"/>
      <c r="B28" s="51"/>
      <c r="C28" s="52"/>
      <c r="D28" s="52"/>
      <c r="E28" s="52"/>
      <c r="F28" s="52"/>
      <c r="G28" s="52"/>
      <c r="H28" s="52"/>
      <c r="I28" s="53"/>
    </row>
  </sheetData>
  <mergeCells count="10">
    <mergeCell ref="A1:I1"/>
    <mergeCell ref="A18:I18"/>
    <mergeCell ref="A9:I9"/>
    <mergeCell ref="D21:F21"/>
    <mergeCell ref="A12:I12"/>
    <mergeCell ref="A4:I4"/>
    <mergeCell ref="A15:I15"/>
    <mergeCell ref="A7:I7"/>
    <mergeCell ref="A2:I2"/>
    <mergeCell ref="A20:F20"/>
  </mergeCells>
  <hyperlinks>
    <hyperlink ref="H5" r:id="rId1" xr:uid="{00000000-0004-0000-0000-000000000000}"/>
    <hyperlink ref="H6" r:id="rId2" xr:uid="{00000000-0004-0000-0000-000001000000}"/>
    <hyperlink ref="H8" r:id="rId3" xr:uid="{00000000-0004-0000-0000-000002000000}"/>
    <hyperlink ref="H10" r:id="rId4" xr:uid="{00000000-0004-0000-0000-000003000000}"/>
    <hyperlink ref="H11" r:id="rId5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workbookViewId="0">
      <selection activeCell="C29" sqref="C29"/>
    </sheetView>
  </sheetViews>
  <sheetFormatPr baseColWidth="10" defaultColWidth="8.83203125" defaultRowHeight="15" x14ac:dyDescent="0.2"/>
  <cols>
    <col min="1" max="1" width="22" customWidth="1"/>
    <col min="2" max="2" width="38" customWidth="1"/>
    <col min="3" max="4" width="22" customWidth="1"/>
    <col min="5" max="5" width="6" customWidth="1"/>
    <col min="6" max="7" width="14" customWidth="1"/>
    <col min="8" max="8" width="48" customWidth="1"/>
    <col min="9" max="9" width="36" customWidth="1"/>
  </cols>
  <sheetData>
    <row r="1" spans="1:9" ht="24" customHeight="1" x14ac:dyDescent="0.2">
      <c r="A1" s="29" t="s">
        <v>75</v>
      </c>
      <c r="B1" s="30"/>
      <c r="C1" s="30"/>
      <c r="D1" s="30"/>
      <c r="E1" s="30"/>
      <c r="F1" s="30"/>
      <c r="G1" s="30"/>
      <c r="H1" s="30"/>
      <c r="I1" s="30"/>
    </row>
    <row r="2" spans="1:9" ht="15" customHeight="1" x14ac:dyDescent="0.2">
      <c r="A2" s="31"/>
      <c r="B2" s="30"/>
      <c r="C2" s="30"/>
      <c r="D2" s="30"/>
      <c r="E2" s="30"/>
      <c r="F2" s="30"/>
      <c r="G2" s="30"/>
      <c r="H2" s="30"/>
      <c r="I2" s="30"/>
    </row>
    <row r="3" spans="1:9" ht="18" customHeight="1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8</v>
      </c>
      <c r="I3" s="24" t="s">
        <v>9</v>
      </c>
    </row>
    <row r="4" spans="1:9" ht="16" customHeight="1" x14ac:dyDescent="0.2">
      <c r="A4" s="43" t="s">
        <v>76</v>
      </c>
      <c r="B4" s="44"/>
      <c r="C4" s="44"/>
      <c r="D4" s="44"/>
      <c r="E4" s="44"/>
      <c r="F4" s="44"/>
      <c r="G4" s="44"/>
      <c r="H4" s="44"/>
      <c r="I4" s="44"/>
    </row>
    <row r="5" spans="1:9" ht="42" customHeight="1" x14ac:dyDescent="0.2">
      <c r="A5" s="14" t="s">
        <v>77</v>
      </c>
      <c r="B5" s="15" t="s">
        <v>78</v>
      </c>
      <c r="C5" s="14" t="s">
        <v>79</v>
      </c>
      <c r="D5" s="14" t="s">
        <v>80</v>
      </c>
      <c r="E5" s="14">
        <v>1</v>
      </c>
      <c r="F5" s="16">
        <v>94.99</v>
      </c>
      <c r="G5" s="17">
        <f>E5*F5</f>
        <v>94.99</v>
      </c>
      <c r="H5" s="18" t="s">
        <v>81</v>
      </c>
      <c r="I5" s="15" t="s">
        <v>82</v>
      </c>
    </row>
    <row r="6" spans="1:9" ht="16" customHeight="1" x14ac:dyDescent="0.2">
      <c r="A6" s="43" t="s">
        <v>83</v>
      </c>
      <c r="B6" s="44"/>
      <c r="C6" s="44"/>
      <c r="D6" s="44"/>
      <c r="E6" s="44"/>
      <c r="F6" s="44"/>
      <c r="G6" s="44"/>
      <c r="H6" s="44"/>
      <c r="I6" s="44"/>
    </row>
    <row r="7" spans="1:9" ht="42" customHeight="1" x14ac:dyDescent="0.2">
      <c r="A7" s="14" t="s">
        <v>84</v>
      </c>
      <c r="B7" s="15" t="s">
        <v>85</v>
      </c>
      <c r="C7" s="14" t="s">
        <v>86</v>
      </c>
      <c r="D7" s="14" t="s">
        <v>87</v>
      </c>
      <c r="E7" s="14">
        <v>2</v>
      </c>
      <c r="F7" s="16">
        <v>18.5</v>
      </c>
      <c r="G7" s="17">
        <f t="shared" ref="G7:G13" si="0">E7*F7</f>
        <v>37</v>
      </c>
      <c r="H7" s="18" t="s">
        <v>88</v>
      </c>
      <c r="I7" s="15" t="s">
        <v>89</v>
      </c>
    </row>
    <row r="8" spans="1:9" ht="42" customHeight="1" x14ac:dyDescent="0.2">
      <c r="A8" s="19" t="s">
        <v>90</v>
      </c>
      <c r="B8" s="20" t="s">
        <v>91</v>
      </c>
      <c r="C8" s="19" t="s">
        <v>86</v>
      </c>
      <c r="D8" s="19" t="s">
        <v>92</v>
      </c>
      <c r="E8" s="19">
        <v>2</v>
      </c>
      <c r="F8" s="16">
        <v>10.25</v>
      </c>
      <c r="G8" s="17">
        <f t="shared" si="0"/>
        <v>20.5</v>
      </c>
      <c r="H8" s="18" t="s">
        <v>88</v>
      </c>
      <c r="I8" s="20" t="s">
        <v>93</v>
      </c>
    </row>
    <row r="9" spans="1:9" ht="42" customHeight="1" x14ac:dyDescent="0.2">
      <c r="A9" s="14" t="s">
        <v>94</v>
      </c>
      <c r="B9" s="15" t="s">
        <v>95</v>
      </c>
      <c r="C9" s="14" t="s">
        <v>86</v>
      </c>
      <c r="D9" s="14" t="s">
        <v>96</v>
      </c>
      <c r="E9" s="14">
        <v>1</v>
      </c>
      <c r="F9" s="16">
        <v>8.99</v>
      </c>
      <c r="G9" s="17">
        <f t="shared" si="0"/>
        <v>8.99</v>
      </c>
      <c r="H9" s="18" t="s">
        <v>97</v>
      </c>
      <c r="I9" s="15" t="s">
        <v>98</v>
      </c>
    </row>
    <row r="10" spans="1:9" ht="42" customHeight="1" x14ac:dyDescent="0.2">
      <c r="A10" s="19" t="s">
        <v>99</v>
      </c>
      <c r="B10" s="20" t="s">
        <v>100</v>
      </c>
      <c r="C10" s="19" t="s">
        <v>101</v>
      </c>
      <c r="D10" s="19" t="s">
        <v>102</v>
      </c>
      <c r="E10" s="19">
        <v>1</v>
      </c>
      <c r="F10" s="16">
        <v>9.99</v>
      </c>
      <c r="G10" s="17">
        <f t="shared" si="0"/>
        <v>9.99</v>
      </c>
      <c r="H10" s="18" t="s">
        <v>103</v>
      </c>
      <c r="I10" s="20" t="s">
        <v>104</v>
      </c>
    </row>
    <row r="11" spans="1:9" ht="42" customHeight="1" x14ac:dyDescent="0.2">
      <c r="A11" s="14" t="s">
        <v>105</v>
      </c>
      <c r="B11" s="15" t="s">
        <v>106</v>
      </c>
      <c r="C11" s="14" t="s">
        <v>107</v>
      </c>
      <c r="D11" s="14" t="s">
        <v>108</v>
      </c>
      <c r="E11" s="14">
        <v>1</v>
      </c>
      <c r="F11" s="16">
        <v>13.99</v>
      </c>
      <c r="G11" s="17">
        <f t="shared" si="0"/>
        <v>13.99</v>
      </c>
      <c r="H11" s="18" t="s">
        <v>109</v>
      </c>
      <c r="I11" s="15" t="s">
        <v>110</v>
      </c>
    </row>
    <row r="12" spans="1:9" ht="42" customHeight="1" x14ac:dyDescent="0.2">
      <c r="A12" s="19" t="s">
        <v>111</v>
      </c>
      <c r="B12" s="20" t="s">
        <v>112</v>
      </c>
      <c r="C12" s="19" t="s">
        <v>113</v>
      </c>
      <c r="D12" s="19" t="s">
        <v>114</v>
      </c>
      <c r="E12" s="19">
        <v>1</v>
      </c>
      <c r="F12" s="16">
        <v>12</v>
      </c>
      <c r="G12" s="17">
        <f t="shared" si="0"/>
        <v>12</v>
      </c>
      <c r="H12" s="18" t="s">
        <v>115</v>
      </c>
      <c r="I12" s="20" t="s">
        <v>116</v>
      </c>
    </row>
    <row r="13" spans="1:9" ht="42" customHeight="1" x14ac:dyDescent="0.2">
      <c r="A13" s="14" t="s">
        <v>117</v>
      </c>
      <c r="B13" s="15" t="s">
        <v>118</v>
      </c>
      <c r="C13" s="14" t="s">
        <v>119</v>
      </c>
      <c r="D13" s="14" t="s">
        <v>120</v>
      </c>
      <c r="E13" s="14">
        <v>1</v>
      </c>
      <c r="F13" s="16">
        <v>14.97</v>
      </c>
      <c r="G13" s="17">
        <f t="shared" si="0"/>
        <v>14.97</v>
      </c>
      <c r="H13" s="18" t="s">
        <v>121</v>
      </c>
      <c r="I13" s="15" t="s">
        <v>122</v>
      </c>
    </row>
    <row r="14" spans="1:9" ht="16" customHeight="1" x14ac:dyDescent="0.2">
      <c r="A14" s="43" t="s">
        <v>123</v>
      </c>
      <c r="B14" s="44"/>
      <c r="C14" s="44"/>
      <c r="D14" s="44"/>
      <c r="E14" s="44"/>
      <c r="F14" s="44"/>
      <c r="G14" s="44"/>
      <c r="H14" s="44"/>
      <c r="I14" s="44"/>
    </row>
    <row r="15" spans="1:9" ht="42" customHeight="1" x14ac:dyDescent="0.2">
      <c r="A15" s="14" t="s">
        <v>124</v>
      </c>
      <c r="B15" s="15" t="s">
        <v>125</v>
      </c>
      <c r="C15" s="14" t="s">
        <v>126</v>
      </c>
      <c r="D15" s="14" t="s">
        <v>127</v>
      </c>
      <c r="E15" s="14">
        <v>1</v>
      </c>
      <c r="F15" s="16">
        <v>22.99</v>
      </c>
      <c r="G15" s="17">
        <f>E15*F15</f>
        <v>22.99</v>
      </c>
      <c r="H15" s="18" t="s">
        <v>128</v>
      </c>
      <c r="I15" s="15" t="s">
        <v>129</v>
      </c>
    </row>
    <row r="16" spans="1:9" ht="42" customHeight="1" x14ac:dyDescent="0.2">
      <c r="A16" s="19" t="s">
        <v>130</v>
      </c>
      <c r="B16" s="20" t="s">
        <v>131</v>
      </c>
      <c r="C16" s="19" t="s">
        <v>132</v>
      </c>
      <c r="D16" s="19" t="s">
        <v>133</v>
      </c>
      <c r="E16" s="19">
        <v>1</v>
      </c>
      <c r="F16" s="16">
        <v>11.99</v>
      </c>
      <c r="G16" s="17">
        <f>E16*F16</f>
        <v>11.99</v>
      </c>
      <c r="H16" s="18" t="s">
        <v>134</v>
      </c>
      <c r="I16" s="20" t="s">
        <v>135</v>
      </c>
    </row>
    <row r="17" spans="1:9" ht="16" customHeight="1" x14ac:dyDescent="0.2">
      <c r="A17" s="43" t="s">
        <v>165</v>
      </c>
      <c r="B17" s="44"/>
      <c r="C17" s="44"/>
      <c r="D17" s="44"/>
      <c r="E17" s="44"/>
      <c r="F17" s="44"/>
      <c r="G17" s="44"/>
      <c r="H17" s="44"/>
      <c r="I17" s="44"/>
    </row>
    <row r="18" spans="1:9" ht="42" customHeight="1" x14ac:dyDescent="0.2">
      <c r="A18" s="14" t="s">
        <v>136</v>
      </c>
      <c r="B18" s="15" t="s">
        <v>137</v>
      </c>
      <c r="C18" s="14" t="s">
        <v>138</v>
      </c>
      <c r="D18" s="14" t="s">
        <v>139</v>
      </c>
      <c r="E18" s="14">
        <v>1</v>
      </c>
      <c r="F18" s="16">
        <v>10.99</v>
      </c>
      <c r="G18" s="17">
        <f>F18</f>
        <v>10.99</v>
      </c>
      <c r="H18" s="18" t="s">
        <v>140</v>
      </c>
      <c r="I18" s="15" t="s">
        <v>141</v>
      </c>
    </row>
    <row r="19" spans="1:9" ht="42" customHeight="1" x14ac:dyDescent="0.2">
      <c r="A19" s="19" t="s">
        <v>142</v>
      </c>
      <c r="B19" s="20" t="s">
        <v>143</v>
      </c>
      <c r="C19" s="19" t="s">
        <v>144</v>
      </c>
      <c r="D19" s="19" t="s">
        <v>145</v>
      </c>
      <c r="E19" s="19">
        <v>1</v>
      </c>
      <c r="F19" s="16">
        <v>7.99</v>
      </c>
      <c r="G19" s="17">
        <f>F19</f>
        <v>7.99</v>
      </c>
      <c r="H19" s="42" t="s">
        <v>146</v>
      </c>
      <c r="I19" s="20" t="s">
        <v>147</v>
      </c>
    </row>
    <row r="20" spans="1:9" ht="16" customHeight="1" x14ac:dyDescent="0.2">
      <c r="A20" s="43" t="s">
        <v>148</v>
      </c>
      <c r="B20" s="44"/>
      <c r="C20" s="44"/>
      <c r="D20" s="44"/>
      <c r="E20" s="44"/>
      <c r="F20" s="44"/>
      <c r="G20" s="44"/>
      <c r="H20" s="44"/>
      <c r="I20" s="44"/>
    </row>
    <row r="21" spans="1:9" ht="42" customHeight="1" x14ac:dyDescent="0.2">
      <c r="A21" s="19" t="s">
        <v>149</v>
      </c>
      <c r="B21" s="20" t="s">
        <v>150</v>
      </c>
      <c r="C21" s="19" t="s">
        <v>151</v>
      </c>
      <c r="D21" s="19" t="s">
        <v>152</v>
      </c>
      <c r="E21" s="19">
        <v>1</v>
      </c>
      <c r="F21" s="16">
        <v>8.99</v>
      </c>
      <c r="G21" s="17">
        <f>F21</f>
        <v>8.99</v>
      </c>
      <c r="H21" s="18" t="s">
        <v>153</v>
      </c>
      <c r="I21" s="20" t="s">
        <v>154</v>
      </c>
    </row>
    <row r="22" spans="1:9" ht="42" customHeight="1" x14ac:dyDescent="0.2">
      <c r="A22" s="14" t="s">
        <v>155</v>
      </c>
      <c r="B22" s="15" t="s">
        <v>156</v>
      </c>
      <c r="C22" s="14" t="s">
        <v>157</v>
      </c>
      <c r="D22" s="14" t="s">
        <v>158</v>
      </c>
      <c r="E22" s="14">
        <v>1</v>
      </c>
      <c r="F22" s="16">
        <v>8.49</v>
      </c>
      <c r="G22" s="17">
        <f>F22</f>
        <v>8.49</v>
      </c>
      <c r="H22" s="18" t="s">
        <v>159</v>
      </c>
      <c r="I22" s="15" t="s">
        <v>160</v>
      </c>
    </row>
    <row r="24" spans="1:9" x14ac:dyDescent="0.2">
      <c r="A24" s="61" t="s">
        <v>161</v>
      </c>
      <c r="B24" s="62"/>
      <c r="C24" s="62"/>
      <c r="D24" s="62"/>
      <c r="E24" s="62"/>
      <c r="F24" s="44"/>
      <c r="G24" s="63">
        <f>SUM(G5,G7,G8,G9,G10,G11,G12,G13,G15,G16,G18,G19,G21,G22)</f>
        <v>283.87000000000006</v>
      </c>
      <c r="H24" s="26"/>
      <c r="I24" s="26"/>
    </row>
    <row r="25" spans="1:9" x14ac:dyDescent="0.2">
      <c r="A25" s="61" t="s">
        <v>162</v>
      </c>
      <c r="B25" s="62"/>
      <c r="C25" s="62"/>
      <c r="D25" s="62"/>
      <c r="E25" s="62"/>
      <c r="F25" s="44"/>
      <c r="G25" s="27">
        <v>235.67</v>
      </c>
      <c r="H25" s="26"/>
      <c r="I25" s="28" t="s">
        <v>164</v>
      </c>
    </row>
    <row r="26" spans="1:9" ht="20" customHeight="1" x14ac:dyDescent="0.2">
      <c r="A26" s="33" t="s">
        <v>163</v>
      </c>
      <c r="B26" s="34"/>
      <c r="C26" s="34"/>
      <c r="D26" s="34"/>
      <c r="E26" s="34"/>
      <c r="F26" s="32"/>
      <c r="G26" s="22">
        <f>G24+G25</f>
        <v>519.54000000000008</v>
      </c>
      <c r="H26" s="21"/>
      <c r="I26" s="21"/>
    </row>
    <row r="28" spans="1:9" x14ac:dyDescent="0.2">
      <c r="A28" s="47"/>
      <c r="B28" s="48"/>
      <c r="C28" s="48"/>
      <c r="D28" s="48"/>
      <c r="E28" s="48"/>
      <c r="F28" s="48"/>
      <c r="G28" s="48"/>
      <c r="H28" s="48"/>
      <c r="I28" s="48"/>
    </row>
    <row r="29" spans="1:9" ht="36" customHeight="1" x14ac:dyDescent="0.2">
      <c r="A29" s="46"/>
      <c r="B29" s="49"/>
      <c r="C29" s="48"/>
      <c r="D29" s="48"/>
      <c r="E29" s="48"/>
      <c r="F29" s="48"/>
      <c r="G29" s="48"/>
      <c r="H29" s="48"/>
      <c r="I29" s="48"/>
    </row>
    <row r="30" spans="1:9" ht="36" customHeight="1" x14ac:dyDescent="0.2">
      <c r="A30" s="46"/>
      <c r="B30" s="49"/>
      <c r="C30" s="48"/>
      <c r="D30" s="48"/>
      <c r="E30" s="48"/>
      <c r="F30" s="48"/>
      <c r="G30" s="48"/>
      <c r="H30" s="48"/>
      <c r="I30" s="48"/>
    </row>
    <row r="31" spans="1:9" ht="36" customHeight="1" x14ac:dyDescent="0.2">
      <c r="A31" s="46"/>
      <c r="B31" s="49"/>
      <c r="C31" s="48"/>
      <c r="D31" s="48"/>
      <c r="E31" s="48"/>
      <c r="F31" s="48"/>
      <c r="G31" s="48"/>
      <c r="H31" s="48"/>
      <c r="I31" s="48"/>
    </row>
    <row r="32" spans="1:9" ht="36" customHeight="1" x14ac:dyDescent="0.2">
      <c r="A32" s="46"/>
      <c r="B32" s="49"/>
      <c r="C32" s="48"/>
      <c r="D32" s="48"/>
      <c r="E32" s="48"/>
      <c r="F32" s="48"/>
      <c r="G32" s="48"/>
      <c r="H32" s="48"/>
      <c r="I32" s="48"/>
    </row>
    <row r="33" spans="1:9" ht="36" customHeight="1" x14ac:dyDescent="0.2">
      <c r="A33" s="46"/>
      <c r="B33" s="49"/>
      <c r="C33" s="48"/>
      <c r="D33" s="48"/>
      <c r="E33" s="48"/>
      <c r="F33" s="48"/>
      <c r="G33" s="48"/>
      <c r="H33" s="48"/>
      <c r="I33" s="48"/>
    </row>
    <row r="34" spans="1:9" ht="36" customHeight="1" x14ac:dyDescent="0.2">
      <c r="A34" s="46"/>
      <c r="B34" s="49"/>
      <c r="C34" s="48"/>
      <c r="D34" s="48"/>
      <c r="E34" s="48"/>
      <c r="F34" s="48"/>
      <c r="G34" s="48"/>
      <c r="H34" s="48"/>
      <c r="I34" s="48"/>
    </row>
    <row r="35" spans="1:9" ht="36" customHeight="1" x14ac:dyDescent="0.2">
      <c r="A35" s="46"/>
      <c r="B35" s="49"/>
      <c r="C35" s="48"/>
      <c r="D35" s="48"/>
      <c r="E35" s="48"/>
      <c r="F35" s="48"/>
      <c r="G35" s="48"/>
      <c r="H35" s="48"/>
      <c r="I35" s="48"/>
    </row>
  </sheetData>
  <mergeCells count="10">
    <mergeCell ref="A20:I20"/>
    <mergeCell ref="A6:I6"/>
    <mergeCell ref="A26:F26"/>
    <mergeCell ref="A17:I17"/>
    <mergeCell ref="A25:F25"/>
    <mergeCell ref="A24:F24"/>
    <mergeCell ref="A1:I1"/>
    <mergeCell ref="A2:I2"/>
    <mergeCell ref="A4:I4"/>
    <mergeCell ref="A14:I14"/>
  </mergeCells>
  <hyperlinks>
    <hyperlink ref="H19" r:id="rId1" xr:uid="{4F184962-9E34-134C-8E0C-A02B50AB31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Physical Build &amp; 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Campagna</cp:lastModifiedBy>
  <dcterms:created xsi:type="dcterms:W3CDTF">2026-04-27T02:01:27Z</dcterms:created>
  <dcterms:modified xsi:type="dcterms:W3CDTF">2026-04-27T19:14:08Z</dcterms:modified>
</cp:coreProperties>
</file>