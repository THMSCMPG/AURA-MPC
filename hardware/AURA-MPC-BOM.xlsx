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thms_camp/Downloads/"/>
    </mc:Choice>
  </mc:AlternateContent>
  <xr:revisionPtr revIDLastSave="0" documentId="13_ncr:1_{E2A6D96B-2090-1B49-B03D-D8CDD965A058}" xr6:coauthVersionLast="47" xr6:coauthVersionMax="47" xr10:uidLastSave="{00000000-0000-0000-0000-000000000000}"/>
  <bookViews>
    <workbookView xWindow="0" yWindow="760" windowWidth="29740" windowHeight="18880" tabRatio="500" xr2:uid="{00000000-000D-0000-FFFF-FFFF00000000}"/>
  </bookViews>
  <sheets>
    <sheet name="BOM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2" i="1" l="1"/>
  <c r="I14" i="1"/>
  <c r="I6" i="1"/>
  <c r="I7" i="1"/>
  <c r="I8" i="1"/>
  <c r="I9" i="1"/>
  <c r="I10" i="1"/>
  <c r="I11" i="1"/>
  <c r="I12" i="1"/>
  <c r="I13" i="1"/>
  <c r="I15" i="1"/>
  <c r="I16" i="1"/>
  <c r="I17" i="1"/>
  <c r="I18" i="1"/>
  <c r="I19" i="1"/>
  <c r="I20" i="1"/>
  <c r="I5" i="1"/>
  <c r="I4" i="1"/>
  <c r="G9" i="1"/>
  <c r="G7" i="1"/>
  <c r="G8" i="1"/>
  <c r="G10" i="1"/>
  <c r="G20" i="1"/>
  <c r="G19" i="1"/>
  <c r="G18" i="1"/>
  <c r="G17" i="1"/>
  <c r="G16" i="1"/>
  <c r="G15" i="1"/>
  <c r="G14" i="1"/>
  <c r="G13" i="1"/>
  <c r="G12" i="1"/>
  <c r="G11" i="1"/>
  <c r="G6" i="1"/>
  <c r="G5" i="1"/>
  <c r="G4" i="1"/>
</calcChain>
</file>

<file path=xl/sharedStrings.xml><?xml version="1.0" encoding="utf-8"?>
<sst xmlns="http://schemas.openxmlformats.org/spreadsheetml/2006/main" count="114" uniqueCount="111">
  <si>
    <t>AURA-MFP  ·  Sensor Data Collection Board  ·  Bill of Materials</t>
  </si>
  <si>
    <t>Ref. Designator</t>
  </si>
  <si>
    <t>Component / Description</t>
  </si>
  <si>
    <t>Manufacturer / Vendor</t>
  </si>
  <si>
    <t>Part Number / SKU</t>
  </si>
  <si>
    <t>Qty</t>
  </si>
  <si>
    <t>Unit Price (USD)</t>
  </si>
  <si>
    <t>Ext. Price (USD)</t>
  </si>
  <si>
    <t>Purchase Link</t>
  </si>
  <si>
    <t>Notes</t>
  </si>
  <si>
    <t>U1–U5</t>
  </si>
  <si>
    <t>MAX31855 Thermocouple Amplifier Breakout Board
(SOIC-8, 3.3 V reg, terminal block, ferrite bead included)</t>
  </si>
  <si>
    <t>Adafruit / DigiKey</t>
  </si>
  <si>
    <t>ADA269 / DigiKey #269</t>
  </si>
  <si>
    <t>https://www.digikey.com/en/products/detail/adafruit-industries-llc/269/4990749</t>
  </si>
  <si>
    <t>One per thermocouple channel. Includes cold-junction compensation. Shares SPI bus; each needs unique CS GPIO on Pico.</t>
  </si>
  <si>
    <t>TC1–TC5_AMB</t>
  </si>
  <si>
    <t>Type K Thermocouple Probe, Mini-Connector, 1.5 m
(−40 °C to +480 °C, stainless sheath)</t>
  </si>
  <si>
    <t>Generic / Amazon</t>
  </si>
  <si>
    <t>B08NP37JZR (5-pack)</t>
  </si>
  <si>
    <t>https://www.amazon.com/dp/B08NP37JZR</t>
  </si>
  <si>
    <t>5-pack covers all 5 channels (TC1–TC4 + TC5_AMB ambient). Mini K-type connector mates directly with Adafruit breakout terminal block adapters.</t>
  </si>
  <si>
    <t>AN1</t>
  </si>
  <si>
    <t>SparkFun Micro Weather Meter Kit v3.0 (Qwiic)
Anemometer + Wind Vane + Rain Gauge</t>
  </si>
  <si>
    <t>SparkFun / Amazon</t>
  </si>
  <si>
    <t>B084L5987Y / SEN-15901</t>
  </si>
  <si>
    <t>https://www.amazon.com/dp/B084L5987Y</t>
  </si>
  <si>
    <t>Anemometer SPD+/SPD− and vane DIR+/DIR− connect to Pico's native ADC pins (GP27/GP28) — no external ADC needed. Rain gauge on separate GPIO interrupt. Qwiic connector unused (board run in analog mode).</t>
  </si>
  <si>
    <t>C1–C10</t>
  </si>
  <si>
    <t>YAGEO / DigiKey</t>
  </si>
  <si>
    <t>CC0603MRX7R9BB104</t>
  </si>
  <si>
    <t>1 cap per IC VCC pin (5× MAX31855) plus 4 spares. Place ≤ 3 mm from each VCC pin.</t>
  </si>
  <si>
    <t>C11–C15</t>
  </si>
  <si>
    <t>TDK / DigiKey</t>
  </si>
  <si>
    <t>C1608X5R1E106M080AC</t>
  </si>
  <si>
    <t>1 per power rail segment (3.3 V main bus, 3.3 V sensor, 5 V). Placed near regulators.</t>
  </si>
  <si>
    <t>R1–R3</t>
  </si>
  <si>
    <t>RC0603FR-07124RL</t>
  </si>
  <si>
    <t>Forms voltage divider from sensor 0–5 V output down to the Pico's native 3.3 V ADC input range (no longer feeding an ADS1115). 124 Ω value carried over from the ADS1115-era schematic — TBD: re-derive divider ratio for direct 3.3 V ADC input before ordering/placing.</t>
  </si>
  <si>
    <t>FB1–FB5</t>
  </si>
  <si>
    <t>Ferrite Bead Assortment (3.5 mm / 0.8 mm bore) — 100 pcs
EMI suppression on thermocouple lines</t>
  </si>
  <si>
    <t>BOJACK / Amazon</t>
  </si>
  <si>
    <t>B09C25PPBG</t>
  </si>
  <si>
    <t>https://www.amazon.com/dp/B09C25PPBG</t>
  </si>
  <si>
    <t>1 bead per MAX31855 VCC line (standard MAX31855 layout per Maxim app-note AN4450). Adafruit breakout already includes one; add externally if using bare IC.</t>
  </si>
  <si>
    <t>PV1</t>
  </si>
  <si>
    <t>100 W Monocrystalline Solar Panel  (36-cell, Voc≈22V, Isc≈5.8A, PMPP≈100W @ STC, η≈19.5%, known temp coeff β=−0.30 %/°C)</t>
  </si>
  <si>
    <t>Renogy / Amazon</t>
  </si>
  <si>
    <t>RNG-100D-SS</t>
  </si>
  <si>
    <t>Must have published datasheet with Isc, Voc, PMPP, β (T coeff), and NOCT. Renogy 100W mono satisfies this. Connects to thermocouple array (TC1–TC4 on corners). Confirm frame has standard M8 mounting holes.</t>
  </si>
  <si>
    <t>STR1</t>
  </si>
  <si>
    <t>80/20 Inc. / Amazon</t>
  </si>
  <si>
    <t>1010-48-LP</t>
  </si>
  <si>
    <t>2× for main upright and cross-arm. 10-series T-slot accepts standard M5 drop-in T-nuts. Cut to final lengths on site.</t>
  </si>
  <si>
    <t>STR2</t>
  </si>
  <si>
    <t>80/20 T-Slot Aluminum Extrusion, 1"×1" (10-series), 24" length  — panel tilt arm</t>
  </si>
  <si>
    <t>1010-24-LP</t>
  </si>
  <si>
    <t>2× shorter arms for panel tilt frame. Bolts to panel joint (PJ1) printed part.</t>
  </si>
  <si>
    <t>STR4</t>
  </si>
  <si>
    <t>80/20 End Cap Assortment (10-series, 1"×1") — 10-pack</t>
  </si>
  <si>
    <t>END-CAP-1010-10PK</t>
  </si>
  <si>
    <t>Caps exposed extrusion ends. Prevents water ingress into T-slot channels.</t>
  </si>
  <si>
    <t>STR5</t>
  </si>
  <si>
    <t>T-Slot Drop-In T-Nut, M5, 10-series — 50-pack  (for all extrusion connections)</t>
  </si>
  <si>
    <t>Befenybay / Amazon</t>
  </si>
  <si>
    <t>B07VF4N8YG</t>
  </si>
  <si>
    <t>50-pack covers all structural joints. Use with M5 button-head bolts (FK1).</t>
  </si>
  <si>
    <t>STR6</t>
  </si>
  <si>
    <t>M5 Stainless Button-Head Socket Bolt Assortment, 10/16/20/25mm — 120-pack</t>
  </si>
  <si>
    <t>iExcell / Amazon</t>
  </si>
  <si>
    <t>B07MQHM98L</t>
  </si>
  <si>
    <t>Stainless for outdoor corrosion resistance. Mates with T-nuts (STR5) for all structural joints.</t>
  </si>
  <si>
    <t>PSU1</t>
  </si>
  <si>
    <t>USB-C 5V 3A Weatherproof Power Supply, outdoor rated  (powers both Pis via USB)</t>
  </si>
  <si>
    <t>MEAN WELL / Amazon</t>
  </si>
  <si>
    <t>GS18U05-P1J</t>
  </si>
  <si>
    <t>Primary 5V supply for RPi 3B+ and RPi Pico. Outdoor rated (IP-52 or better). If near an outlet; otherwise see PSU2 for battery option.</t>
  </si>
  <si>
    <t>CBL2</t>
  </si>
  <si>
    <t>USB-A to USB-Micro-B Cable, 10ft, outdoor UV-resistant — 2-pack</t>
  </si>
  <si>
    <t>Anker / Amazon</t>
  </si>
  <si>
    <t>A8023</t>
  </si>
  <si>
    <t>Pi 3B+ ↔ Pico power/UART link. UV-resistant jacket for outdoor routing. Route through conduit (CBL4) for additional protection.</t>
  </si>
  <si>
    <t>HW4</t>
  </si>
  <si>
    <t>Velcro Cable Ties, 8" — 100-pack  (inside enclosures)</t>
  </si>
  <si>
    <t>VELCRO Brand / Amazon</t>
  </si>
  <si>
    <t>B001E1Y5O6</t>
  </si>
  <si>
    <t>https://www.amazon.com/dp/B001E1Y5O6</t>
  </si>
  <si>
    <t>Reusable cable management inside weatherproof enclosures. Avoids damaging cable jackets that zip-ties can cause.</t>
  </si>
  <si>
    <t>HW5</t>
  </si>
  <si>
    <t>Anti-vibration Rubber Grommets, M4/M5/M6 assortment — 100-pack</t>
  </si>
  <si>
    <t>Heyous / Amazon</t>
  </si>
  <si>
    <t>B09NB8LHFT</t>
  </si>
  <si>
    <t>Vibration isolation for sensor board mounting in enclosure. Reduces wind-induced vibration noise on thermocouple measurements.</t>
  </si>
  <si>
    <t>GRAND TOTAL (Physical Build + Electronics)</t>
  </si>
  <si>
    <t>https://www.amazon.com/Renogy-N-Type-16BB-Solar-Panel/dp/B0D3DZWXT4?ref_=ast_sto_dp&amp;th=1</t>
  </si>
  <si>
    <t>https://www.amazon.com/80-20-1010-S-T-Slotted-Extrusion/dp/B01LWISXZL/ref=sr_1_4?dib=eyJ2IjoiMSJ9.53yGGopjQhV7upFe__gny-cbCn1QW4eZeZYiwmsAYrh7Y8MVhfFeYNJImr0LNuZuiizCRVZ0ZXM-NfINfxVbH41ZXDO5aEGpBJshWmo_LI53b1Thh5vlzDggatGqsX2nyA9gnd4Yjt6i2gjXprPsihCaq3rMy</t>
  </si>
  <si>
    <t>https://www.amazon.com/80-20-1010-S-T-Slotted-Extrusion/dp/B01LWUIN35/ref=sr_1_1?dib=eyJ2IjoiMSJ9.2vgu0G4_UdtvLWFqIPegI5m781A9f3CwU6pPKdJg-dy0vVaLNoyvjMOnJpBbOqAKTUwJ1lKd9ngncyO11l7MbaHPjPpdGmL83VvjABSVUeykZDBBhgd6CY_4T7J5smXwEUBNWcyr1SROiVYa9sNQrOCVB8BND</t>
  </si>
  <si>
    <t>clickable link</t>
  </si>
  <si>
    <t>https://a.co/d/09t2SH0V</t>
  </si>
  <si>
    <t>https://a.co/d/0ePv4LQm</t>
  </si>
  <si>
    <t>https://a.co/d/07mnOHkd</t>
  </si>
  <si>
    <t>https://a.co/d/01zErlSl</t>
  </si>
  <si>
    <t>https://a.co/d/09dcCvVE</t>
  </si>
  <si>
    <t>https://a.co/d/0fqYU4ct</t>
  </si>
  <si>
    <t>KEMET C320C104J5R5TA7301 — 0.1µF radial through-hole, 0.1" lead spacing</t>
  </si>
  <si>
    <t>https://www.digikey.com/en/products/detail/kemet/C320C104J5R5TA7301/3726081</t>
  </si>
  <si>
    <t>Aluminum Electrolytic Capacitor 10 µF / 50 V / Radial (Through-Hole)</t>
  </si>
  <si>
    <t>https://www.digikey.in/en/products/detail/rubycon/100PX10MEFC5X11/3562841</t>
  </si>
  <si>
    <t>YAGEO CFR-25JB-52-120R — axial through-hole, 5%, 1/4W.</t>
  </si>
  <si>
    <t>https://www.digikey.com/en/products/detail/yageo/CFR-25JB-52-120R/389</t>
  </si>
  <si>
    <t>80/20 T-Slot Aluminum Extrusion, 1"×1" (10-series), 36" length  — vertical mast / main upright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</si>
</sst>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4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  <charset val="1"/>
    </font>
    <font>
      <i/>
      <sz val="9"/>
      <color rgb="FFAAAAAA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1A1A2E"/>
      <name val="Arial"/>
      <family val="2"/>
      <charset val="1"/>
    </font>
    <font>
      <b/>
      <sz val="10"/>
      <color rgb="FF1A1A2E"/>
      <name val="Arial"/>
      <family val="2"/>
      <charset val="1"/>
    </font>
    <font>
      <u/>
      <sz val="11"/>
      <color theme="10"/>
      <name val="Calibri"/>
      <family val="2"/>
      <charset val="1"/>
    </font>
    <font>
      <b/>
      <sz val="11"/>
      <color rgb="FFFFFFFF"/>
      <name val="Arial"/>
      <family val="2"/>
      <charset val="1"/>
    </font>
    <font>
      <sz val="1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rgb="FF0563C1"/>
      <name val="Arial"/>
      <family val="2"/>
      <charset val="1"/>
    </font>
    <font>
      <b/>
      <sz val="12"/>
      <color rgb="FFFFFFFF"/>
      <name val="Arial"/>
      <family val="2"/>
      <charset val="1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  <bgColor rgb="FF1A1A2E"/>
      </patternFill>
    </fill>
    <fill>
      <patternFill patternType="solid">
        <fgColor rgb="FF00B050"/>
        <bgColor rgb="FF008080"/>
      </patternFill>
    </fill>
    <fill>
      <patternFill patternType="solid">
        <fgColor rgb="FFFFFFFF"/>
        <bgColor rgb="FFF2F7FF"/>
      </patternFill>
    </fill>
    <fill>
      <patternFill patternType="solid">
        <fgColor rgb="FFE8EDF5"/>
        <bgColor rgb="FFF2F7FF"/>
      </patternFill>
    </fill>
    <fill>
      <patternFill patternType="solid">
        <fgColor rgb="FFF2F7FF"/>
        <bgColor rgb="FFFFFFFF"/>
      </patternFill>
    </fill>
    <fill>
      <patternFill patternType="solid">
        <fgColor rgb="FF1B5E20"/>
        <bgColor rgb="FF555555"/>
      </patternFill>
    </fill>
  </fills>
  <borders count="4">
    <border>
      <left/>
      <right/>
      <top/>
      <bottom/>
      <diagonal/>
    </border>
    <border>
      <left style="medium">
        <color rgb="FF555555"/>
      </left>
      <right style="medium">
        <color rgb="FF555555"/>
      </right>
      <top style="medium">
        <color rgb="FF555555"/>
      </top>
      <bottom style="medium">
        <color rgb="FF555555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6" fillId="0" borderId="0"/>
  </cellStyleXfs>
  <cellXfs count="2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wrapText="1"/>
    </xf>
    <xf numFmtId="164" fontId="4" fillId="4" borderId="2" xfId="0" applyNumberFormat="1" applyFont="1" applyFill="1" applyBorder="1" applyAlignment="1">
      <alignment horizontal="center" vertical="center"/>
    </xf>
    <xf numFmtId="164" fontId="5" fillId="4" borderId="2" xfId="0" applyNumberFormat="1" applyFont="1" applyFill="1" applyBorder="1" applyAlignment="1">
      <alignment horizontal="center" vertical="center"/>
    </xf>
    <xf numFmtId="0" fontId="6" fillId="4" borderId="2" xfId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wrapText="1"/>
    </xf>
    <xf numFmtId="164" fontId="4" fillId="5" borderId="2" xfId="0" applyNumberFormat="1" applyFont="1" applyFill="1" applyBorder="1" applyAlignment="1">
      <alignment horizontal="center" vertical="center"/>
    </xf>
    <xf numFmtId="164" fontId="5" fillId="5" borderId="2" xfId="0" applyNumberFormat="1" applyFont="1" applyFill="1" applyBorder="1" applyAlignment="1">
      <alignment horizontal="center" vertical="center"/>
    </xf>
    <xf numFmtId="0" fontId="6" fillId="5" borderId="2" xfId="1" applyFill="1" applyBorder="1" applyAlignment="1">
      <alignment horizontal="left" vertical="center" wrapText="1"/>
    </xf>
    <xf numFmtId="0" fontId="8" fillId="0" borderId="3" xfId="0" applyFont="1" applyBorder="1" applyAlignment="1">
      <alignment vertical="top"/>
    </xf>
    <xf numFmtId="0" fontId="8" fillId="0" borderId="3" xfId="0" applyFont="1" applyBorder="1" applyAlignment="1">
      <alignment vertical="top" wrapText="1"/>
    </xf>
    <xf numFmtId="164" fontId="9" fillId="0" borderId="3" xfId="0" applyNumberFormat="1" applyFont="1" applyBorder="1" applyAlignment="1">
      <alignment vertical="top"/>
    </xf>
    <xf numFmtId="164" fontId="10" fillId="0" borderId="3" xfId="0" applyNumberFormat="1" applyFont="1" applyBorder="1" applyAlignment="1">
      <alignment vertical="top"/>
    </xf>
    <xf numFmtId="0" fontId="11" fillId="0" borderId="3" xfId="0" applyFont="1" applyBorder="1" applyAlignment="1">
      <alignment vertical="top" wrapText="1"/>
    </xf>
    <xf numFmtId="0" fontId="8" fillId="6" borderId="3" xfId="0" applyFont="1" applyFill="1" applyBorder="1" applyAlignment="1">
      <alignment vertical="top"/>
    </xf>
    <xf numFmtId="0" fontId="8" fillId="6" borderId="3" xfId="0" applyFont="1" applyFill="1" applyBorder="1" applyAlignment="1">
      <alignment vertical="top" wrapText="1"/>
    </xf>
    <xf numFmtId="164" fontId="12" fillId="7" borderId="3" xfId="0" applyNumberFormat="1" applyFont="1" applyFill="1" applyBorder="1"/>
    <xf numFmtId="0" fontId="0" fillId="7" borderId="3" xfId="0" applyFill="1" applyBorder="1"/>
    <xf numFmtId="0" fontId="6" fillId="0" borderId="0" xfId="1"/>
    <xf numFmtId="0" fontId="13" fillId="0" borderId="0" xfId="0" applyFont="1" applyAlignment="1">
      <alignment wrapText="1"/>
    </xf>
    <xf numFmtId="0" fontId="7" fillId="7" borderId="3" xfId="0" applyFont="1" applyFill="1" applyBorder="1" applyAlignment="1">
      <alignment horizontal="right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7FF"/>
      <rgbColor rgb="FFE8EDF5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3366FF"/>
      <rgbColor rgb="FF4FC3F7"/>
      <rgbColor rgb="FF99CC00"/>
      <rgbColor rgb="FFFFCC00"/>
      <rgbColor rgb="FFFF9900"/>
      <rgbColor rgb="FFFF6600"/>
      <rgbColor rgb="FF555555"/>
      <rgbColor rgb="FFAAAAAA"/>
      <rgbColor rgb="FF002060"/>
      <rgbColor rgb="FF00B050"/>
      <rgbColor rgb="FF003300"/>
      <rgbColor rgb="FF333300"/>
      <rgbColor rgb="FF993300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/dp/B084L5987Y" TargetMode="External"/><Relationship Id="rId7" Type="http://schemas.openxmlformats.org/officeDocument/2006/relationships/hyperlink" Target="https://www.amazon.com/80-20-1010-S-T-Slotted-Extrusion/dp/B01LWUIN35/ref=sr_1_1?dib=eyJ2IjoiMSJ9.2vgu0G4_UdtvLWFqIPegI5m781A9f3CwU6pPKdJg-dy0vVaLNoyvjMOnJpBbOqAKTUwJ1lKd9ngncyO11l7MbaHPjPpdGmL83VvjABSVUeykZDBBhgd6CY_4T7J5smXwEUBNWcyr1SROiVYa9sNQrOCVB8BND-azyxh4mzd36Kvrqh3bAVQvGE0Ju4Y4ERIhj0TxWs-TZLwQr6IxNYHiKUb0IGQJ8j90DBPLorLl2ms.4xhhyp7_9G1s2ro_gdNrThEyh9K8DxpxP-EiuUV8NSo&amp;dib_tag=se&amp;keywords=80%2F20%2BT-Slot%2BAluminum%2BExtrusion%2C%2B1%22&#215;1%22%2B(10-series)%2C%2B24%22%2Blength&amp;nsdOptOutParam=true&amp;qid=1787119311&amp;sr=8-1&amp;th=1" TargetMode="External"/><Relationship Id="rId2" Type="http://schemas.openxmlformats.org/officeDocument/2006/relationships/hyperlink" Target="https://www.amazon.com/dp/B08NP37JZR" TargetMode="External"/><Relationship Id="rId1" Type="http://schemas.openxmlformats.org/officeDocument/2006/relationships/hyperlink" Target="https://www.digikey.com/en/products/detail/adafruit-industries-llc/269/4990749" TargetMode="External"/><Relationship Id="rId6" Type="http://schemas.openxmlformats.org/officeDocument/2006/relationships/hyperlink" Target="https://www.amazon.com/80-20-1010-S-T-Slotted-Extrusion/dp/B01LWISXZL/ref=sr_1_4?dib=eyJ2IjoiMSJ9.53yGGopjQhV7upFe__gny-cbCn1QW4eZeZYiwmsAYrh7Y8MVhfFeYNJImr0LNuZuiizCRVZ0ZXM-NfINfxVbH41ZXDO5aEGpBJshWmo_LI53b1Thh5vlzDggatGqsX2nyA9gnd4Yjt6i2gjXprPsihCaq3rMy" TargetMode="External"/><Relationship Id="rId5" Type="http://schemas.openxmlformats.org/officeDocument/2006/relationships/hyperlink" Target="https://www.amazon.com/Renogy-N-Type-16BB-Solar-Panel/dp/B0D3DZWXT4?ref_=ast_sto_dp&amp;th=1" TargetMode="External"/><Relationship Id="rId4" Type="http://schemas.openxmlformats.org/officeDocument/2006/relationships/hyperlink" Target="https://www.amazon.com/dp/B09C25PPB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zoomScaleNormal="100" workbookViewId="0">
      <pane ySplit="3" topLeftCell="A10" activePane="bottomLeft" state="frozen"/>
      <selection pane="bottomLeft" activeCell="G23" sqref="G23"/>
    </sheetView>
  </sheetViews>
  <sheetFormatPr baseColWidth="10" defaultColWidth="8.83203125" defaultRowHeight="15" x14ac:dyDescent="0.2"/>
  <cols>
    <col min="1" max="1" width="20" customWidth="1"/>
    <col min="2" max="2" width="38" customWidth="1"/>
    <col min="3" max="3" width="22" customWidth="1"/>
    <col min="4" max="4" width="28" customWidth="1"/>
    <col min="5" max="5" width="8" customWidth="1"/>
    <col min="6" max="7" width="14" customWidth="1"/>
    <col min="8" max="8" width="40" customWidth="1"/>
    <col min="9" max="9" width="9.33203125" customWidth="1"/>
    <col min="10" max="10" width="42" customWidth="1"/>
  </cols>
  <sheetData>
    <row r="1" spans="1:10" ht="49.5" customHeight="1" x14ac:dyDescent="0.2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16" thickBot="1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</row>
    <row r="3" spans="1:10" ht="31.5" customHeight="1" thickBo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97</v>
      </c>
      <c r="J3" s="1" t="s">
        <v>9</v>
      </c>
    </row>
    <row r="4" spans="1:10" ht="61" customHeight="1" x14ac:dyDescent="0.2">
      <c r="A4" s="2" t="s">
        <v>10</v>
      </c>
      <c r="B4" s="3" t="s">
        <v>11</v>
      </c>
      <c r="C4" s="3" t="s">
        <v>12</v>
      </c>
      <c r="D4" s="3" t="s">
        <v>13</v>
      </c>
      <c r="E4" s="2">
        <v>5</v>
      </c>
      <c r="F4" s="4">
        <v>14.95</v>
      </c>
      <c r="G4" s="5">
        <f t="shared" ref="G4:G13" si="0">E4*F4</f>
        <v>74.75</v>
      </c>
      <c r="H4" s="6" t="s">
        <v>14</v>
      </c>
      <c r="I4" s="21" t="str">
        <f>HYPERLINK(H4)</f>
        <v>https://www.digikey.com/en/products/detail/adafruit-industries-llc/269/4990749</v>
      </c>
      <c r="J4" s="3" t="s">
        <v>15</v>
      </c>
    </row>
    <row r="5" spans="1:10" ht="52" customHeight="1" x14ac:dyDescent="0.2">
      <c r="A5" s="7" t="s">
        <v>16</v>
      </c>
      <c r="B5" s="8" t="s">
        <v>17</v>
      </c>
      <c r="C5" s="8" t="s">
        <v>18</v>
      </c>
      <c r="D5" s="8" t="s">
        <v>19</v>
      </c>
      <c r="E5" s="7">
        <v>1</v>
      </c>
      <c r="F5" s="9">
        <v>13.99</v>
      </c>
      <c r="G5" s="10">
        <f t="shared" si="0"/>
        <v>13.99</v>
      </c>
      <c r="H5" s="11" t="s">
        <v>20</v>
      </c>
      <c r="I5" s="21" t="str">
        <f>HYPERLINK(H5)</f>
        <v>https://www.amazon.com/dp/B08NP37JZR</v>
      </c>
      <c r="J5" s="8" t="s">
        <v>21</v>
      </c>
    </row>
    <row r="6" spans="1:10" ht="42" customHeight="1" x14ac:dyDescent="0.2">
      <c r="A6" s="2" t="s">
        <v>22</v>
      </c>
      <c r="B6" s="3" t="s">
        <v>23</v>
      </c>
      <c r="C6" s="3" t="s">
        <v>24</v>
      </c>
      <c r="D6" s="3" t="s">
        <v>25</v>
      </c>
      <c r="E6" s="2">
        <v>1</v>
      </c>
      <c r="F6" s="4">
        <v>119.95</v>
      </c>
      <c r="G6" s="5">
        <f t="shared" si="0"/>
        <v>119.95</v>
      </c>
      <c r="H6" s="21" t="s">
        <v>26</v>
      </c>
      <c r="I6" s="21" t="str">
        <f t="shared" ref="I6:I20" si="1">HYPERLINK(H6)</f>
        <v>https://www.amazon.com/dp/B084L5987Y</v>
      </c>
      <c r="J6" s="3" t="s">
        <v>27</v>
      </c>
    </row>
    <row r="7" spans="1:10" ht="43.5" customHeight="1" x14ac:dyDescent="0.2">
      <c r="A7" s="2" t="s">
        <v>28</v>
      </c>
      <c r="B7" s="22" t="s">
        <v>104</v>
      </c>
      <c r="C7" s="3" t="s">
        <v>29</v>
      </c>
      <c r="D7" s="3" t="s">
        <v>30</v>
      </c>
      <c r="E7" s="2">
        <v>9</v>
      </c>
      <c r="F7" s="4">
        <v>0.57999999999999996</v>
      </c>
      <c r="G7" s="5">
        <f t="shared" si="0"/>
        <v>5.22</v>
      </c>
      <c r="H7" s="21" t="s">
        <v>105</v>
      </c>
      <c r="I7" s="21" t="str">
        <f t="shared" si="1"/>
        <v>https://www.digikey.com/en/products/detail/kemet/C320C104J5R5TA7301/3726081</v>
      </c>
      <c r="J7" s="3" t="s">
        <v>31</v>
      </c>
    </row>
    <row r="8" spans="1:10" ht="41" customHeight="1" x14ac:dyDescent="0.2">
      <c r="A8" s="7" t="s">
        <v>32</v>
      </c>
      <c r="B8" s="8" t="s">
        <v>106</v>
      </c>
      <c r="C8" s="8" t="s">
        <v>33</v>
      </c>
      <c r="D8" s="8" t="s">
        <v>34</v>
      </c>
      <c r="E8" s="7">
        <v>5</v>
      </c>
      <c r="F8" s="9">
        <v>0.24</v>
      </c>
      <c r="G8" s="10">
        <f t="shared" si="0"/>
        <v>1.2</v>
      </c>
      <c r="H8" s="21" t="s">
        <v>107</v>
      </c>
      <c r="I8" s="21" t="str">
        <f t="shared" si="1"/>
        <v>https://www.digikey.in/en/products/detail/rubycon/100PX10MEFC5X11/3562841</v>
      </c>
      <c r="J8" s="8" t="s">
        <v>35</v>
      </c>
    </row>
    <row r="9" spans="1:10" ht="43.5" customHeight="1" x14ac:dyDescent="0.2">
      <c r="A9" s="7" t="s">
        <v>36</v>
      </c>
      <c r="B9" s="22" t="s">
        <v>108</v>
      </c>
      <c r="C9" s="8" t="s">
        <v>29</v>
      </c>
      <c r="D9" s="8" t="s">
        <v>37</v>
      </c>
      <c r="E9" s="7">
        <v>3</v>
      </c>
      <c r="F9" s="9">
        <v>0.1</v>
      </c>
      <c r="G9" s="10">
        <f t="shared" si="0"/>
        <v>0.30000000000000004</v>
      </c>
      <c r="H9" s="21" t="s">
        <v>109</v>
      </c>
      <c r="I9" s="21" t="str">
        <f t="shared" si="1"/>
        <v>https://www.digikey.com/en/products/detail/yageo/CFR-25JB-52-120R/389</v>
      </c>
      <c r="J9" s="8" t="s">
        <v>38</v>
      </c>
    </row>
    <row r="10" spans="1:10" ht="51" customHeight="1" x14ac:dyDescent="0.2">
      <c r="A10" s="2" t="s">
        <v>39</v>
      </c>
      <c r="B10" s="3" t="s">
        <v>40</v>
      </c>
      <c r="C10" s="3" t="s">
        <v>41</v>
      </c>
      <c r="D10" s="3" t="s">
        <v>42</v>
      </c>
      <c r="E10" s="2">
        <v>1</v>
      </c>
      <c r="F10" s="4">
        <v>6.99</v>
      </c>
      <c r="G10" s="5">
        <f t="shared" si="0"/>
        <v>6.99</v>
      </c>
      <c r="H10" s="21" t="s">
        <v>43</v>
      </c>
      <c r="I10" s="21" t="str">
        <f t="shared" si="1"/>
        <v>https://www.amazon.com/dp/B09C25PPBG</v>
      </c>
      <c r="J10" s="3" t="s">
        <v>44</v>
      </c>
    </row>
    <row r="11" spans="1:10" ht="45" customHeight="1" x14ac:dyDescent="0.2">
      <c r="A11" s="26" t="s">
        <v>45</v>
      </c>
      <c r="B11" s="13" t="s">
        <v>46</v>
      </c>
      <c r="C11" s="12" t="s">
        <v>47</v>
      </c>
      <c r="D11" s="12" t="s">
        <v>48</v>
      </c>
      <c r="E11" s="12">
        <v>1</v>
      </c>
      <c r="F11" s="14">
        <v>74.989999999999995</v>
      </c>
      <c r="G11" s="15">
        <f t="shared" si="0"/>
        <v>74.989999999999995</v>
      </c>
      <c r="H11" s="21" t="s">
        <v>94</v>
      </c>
      <c r="I11" s="21" t="str">
        <f t="shared" si="1"/>
        <v>https://www.amazon.com/Renogy-N-Type-16BB-Solar-Panel/dp/B0D3DZWXT4?ref_=ast_sto_dp&amp;th=1</v>
      </c>
      <c r="J11" s="13" t="s">
        <v>49</v>
      </c>
    </row>
    <row r="12" spans="1:10" ht="44" customHeight="1" x14ac:dyDescent="0.2">
      <c r="A12" s="26" t="s">
        <v>50</v>
      </c>
      <c r="B12" s="13" t="s">
        <v>110</v>
      </c>
      <c r="C12" s="12" t="s">
        <v>51</v>
      </c>
      <c r="D12" s="12" t="s">
        <v>52</v>
      </c>
      <c r="E12" s="12">
        <v>2</v>
      </c>
      <c r="F12" s="14">
        <v>19.2</v>
      </c>
      <c r="G12" s="15">
        <f t="shared" si="0"/>
        <v>38.4</v>
      </c>
      <c r="H12" s="21" t="s">
        <v>95</v>
      </c>
      <c r="I12" s="21" t="str">
        <f t="shared" si="1"/>
        <v>https://www.amazon.com/80-20-1010-S-T-Slotted-Extrusion/dp/B01LWISXZL/ref=sr_1_4?dib=eyJ2IjoiMSJ9.53yGGopjQhV7upFe__gny-cbCn1QW4eZeZYiwmsAYrh7Y8MVhfFeYNJImr0LNuZuiizCRVZ0ZXM-NfINfxVbH41ZXDO5aEGpBJshWmo_LI53b1Thh5vlzDggatGqsX2nyA9gnd4Yjt6i2gjXprPsihCaq3rMy</v>
      </c>
      <c r="J12" s="13" t="s">
        <v>53</v>
      </c>
    </row>
    <row r="13" spans="1:10" ht="33" customHeight="1" x14ac:dyDescent="0.2">
      <c r="A13" s="27" t="s">
        <v>54</v>
      </c>
      <c r="B13" s="18" t="s">
        <v>55</v>
      </c>
      <c r="C13" s="17" t="s">
        <v>51</v>
      </c>
      <c r="D13" s="17" t="s">
        <v>56</v>
      </c>
      <c r="E13" s="17">
        <v>2</v>
      </c>
      <c r="F13" s="14">
        <v>13.8</v>
      </c>
      <c r="G13" s="15">
        <f t="shared" si="0"/>
        <v>27.6</v>
      </c>
      <c r="H13" s="21" t="s">
        <v>96</v>
      </c>
      <c r="I13" s="21" t="str">
        <f t="shared" si="1"/>
        <v>https://www.amazon.com/80-20-1010-S-T-Slotted-Extrusion/dp/B01LWUIN35/ref=sr_1_1?dib=eyJ2IjoiMSJ9.2vgu0G4_UdtvLWFqIPegI5m781A9f3CwU6pPKdJg-dy0vVaLNoyvjMOnJpBbOqAKTUwJ1lKd9ngncyO11l7MbaHPjPpdGmL83VvjABSVUeykZDBBhgd6CY_4T7J5smXwEUBNWcyr1SROiVYa9sNQrOCVB8BND</v>
      </c>
      <c r="J13" s="18" t="s">
        <v>57</v>
      </c>
    </row>
    <row r="14" spans="1:10" ht="30" customHeight="1" x14ac:dyDescent="0.2">
      <c r="A14" s="26" t="s">
        <v>58</v>
      </c>
      <c r="B14" s="13" t="s">
        <v>59</v>
      </c>
      <c r="C14" s="12" t="s">
        <v>51</v>
      </c>
      <c r="D14" s="12" t="s">
        <v>60</v>
      </c>
      <c r="E14" s="12">
        <v>1</v>
      </c>
      <c r="F14" s="14">
        <v>24.95</v>
      </c>
      <c r="G14" s="15">
        <f t="shared" ref="G14:G16" si="2">E14*F14</f>
        <v>24.95</v>
      </c>
      <c r="H14" s="21" t="s">
        <v>98</v>
      </c>
      <c r="I14" s="21" t="str">
        <f>HYPERLINK(H14)</f>
        <v>https://a.co/d/09t2SH0V</v>
      </c>
      <c r="J14" s="13" t="s">
        <v>61</v>
      </c>
    </row>
    <row r="15" spans="1:10" ht="28" customHeight="1" x14ac:dyDescent="0.2">
      <c r="A15" s="27" t="s">
        <v>62</v>
      </c>
      <c r="B15" s="18" t="s">
        <v>63</v>
      </c>
      <c r="C15" s="17" t="s">
        <v>64</v>
      </c>
      <c r="D15" s="17" t="s">
        <v>65</v>
      </c>
      <c r="E15" s="17">
        <v>1</v>
      </c>
      <c r="F15" s="14">
        <v>15.49</v>
      </c>
      <c r="G15" s="15">
        <f t="shared" si="2"/>
        <v>15.49</v>
      </c>
      <c r="H15" s="16" t="s">
        <v>99</v>
      </c>
      <c r="I15" s="21" t="str">
        <f t="shared" si="1"/>
        <v>https://a.co/d/0ePv4LQm</v>
      </c>
      <c r="J15" s="18" t="s">
        <v>66</v>
      </c>
    </row>
    <row r="16" spans="1:10" ht="31" customHeight="1" x14ac:dyDescent="0.2">
      <c r="A16" s="26" t="s">
        <v>67</v>
      </c>
      <c r="B16" s="13" t="s">
        <v>68</v>
      </c>
      <c r="C16" s="12" t="s">
        <v>69</v>
      </c>
      <c r="D16" s="12" t="s">
        <v>70</v>
      </c>
      <c r="E16" s="12">
        <v>1</v>
      </c>
      <c r="F16" s="14">
        <v>9.86</v>
      </c>
      <c r="G16" s="15">
        <f t="shared" si="2"/>
        <v>9.86</v>
      </c>
      <c r="H16" s="16" t="s">
        <v>100</v>
      </c>
      <c r="I16" s="21" t="str">
        <f t="shared" si="1"/>
        <v>https://a.co/d/07mnOHkd</v>
      </c>
      <c r="J16" s="13" t="s">
        <v>71</v>
      </c>
    </row>
    <row r="17" spans="1:10" ht="34" customHeight="1" x14ac:dyDescent="0.2">
      <c r="A17" s="26" t="s">
        <v>72</v>
      </c>
      <c r="B17" s="13" t="s">
        <v>73</v>
      </c>
      <c r="C17" s="12" t="s">
        <v>74</v>
      </c>
      <c r="D17" s="12" t="s">
        <v>75</v>
      </c>
      <c r="E17" s="12">
        <v>1</v>
      </c>
      <c r="F17" s="14">
        <v>66.989999999999995</v>
      </c>
      <c r="G17" s="15">
        <f>E17*F17</f>
        <v>66.989999999999995</v>
      </c>
      <c r="H17" s="16" t="s">
        <v>101</v>
      </c>
      <c r="I17" s="21" t="str">
        <f t="shared" si="1"/>
        <v>https://a.co/d/01zErlSl</v>
      </c>
      <c r="J17" s="13" t="s">
        <v>76</v>
      </c>
    </row>
    <row r="18" spans="1:10" ht="42" x14ac:dyDescent="0.2">
      <c r="A18" s="26" t="s">
        <v>77</v>
      </c>
      <c r="B18" s="13" t="s">
        <v>78</v>
      </c>
      <c r="C18" s="12" t="s">
        <v>79</v>
      </c>
      <c r="D18" s="12" t="s">
        <v>80</v>
      </c>
      <c r="E18" s="12">
        <v>1</v>
      </c>
      <c r="F18" s="14">
        <v>5.36</v>
      </c>
      <c r="G18" s="15">
        <f>F18</f>
        <v>5.36</v>
      </c>
      <c r="H18" s="21" t="s">
        <v>102</v>
      </c>
      <c r="I18" s="21" t="str">
        <f t="shared" si="1"/>
        <v>https://a.co/d/09dcCvVE</v>
      </c>
      <c r="J18" s="13" t="s">
        <v>81</v>
      </c>
    </row>
    <row r="19" spans="1:10" ht="42" x14ac:dyDescent="0.2">
      <c r="A19" s="27" t="s">
        <v>82</v>
      </c>
      <c r="B19" s="18" t="s">
        <v>83</v>
      </c>
      <c r="C19" s="17" t="s">
        <v>84</v>
      </c>
      <c r="D19" s="17" t="s">
        <v>85</v>
      </c>
      <c r="E19" s="17">
        <v>1</v>
      </c>
      <c r="F19" s="14">
        <v>15.89</v>
      </c>
      <c r="G19" s="15">
        <f>F19</f>
        <v>15.89</v>
      </c>
      <c r="H19" s="16" t="s">
        <v>86</v>
      </c>
      <c r="I19" s="21" t="str">
        <f t="shared" si="1"/>
        <v>https://www.amazon.com/dp/B001E1Y5O6</v>
      </c>
      <c r="J19" s="18" t="s">
        <v>87</v>
      </c>
    </row>
    <row r="20" spans="1:10" ht="42" x14ac:dyDescent="0.2">
      <c r="A20" s="26" t="s">
        <v>88</v>
      </c>
      <c r="B20" s="13" t="s">
        <v>89</v>
      </c>
      <c r="C20" s="12" t="s">
        <v>90</v>
      </c>
      <c r="D20" s="12" t="s">
        <v>91</v>
      </c>
      <c r="E20" s="12">
        <v>1</v>
      </c>
      <c r="F20" s="14">
        <v>13.99</v>
      </c>
      <c r="G20" s="15">
        <f>F20</f>
        <v>13.99</v>
      </c>
      <c r="H20" s="16" t="s">
        <v>103</v>
      </c>
      <c r="I20" s="21" t="str">
        <f t="shared" si="1"/>
        <v>https://a.co/d/0fqYU4ct</v>
      </c>
      <c r="J20" s="13" t="s">
        <v>92</v>
      </c>
    </row>
    <row r="22" spans="1:10" ht="16" x14ac:dyDescent="0.2">
      <c r="A22" s="23" t="s">
        <v>93</v>
      </c>
      <c r="B22" s="23"/>
      <c r="C22" s="23"/>
      <c r="D22" s="23"/>
      <c r="E22" s="23"/>
      <c r="F22" s="23"/>
      <c r="G22" s="19">
        <f>SUM(G4:G20)</f>
        <v>515.91999999999996</v>
      </c>
      <c r="H22" s="20"/>
      <c r="I22" s="20"/>
      <c r="J22" s="20"/>
    </row>
    <row r="25" spans="1:10" x14ac:dyDescent="0.2">
      <c r="D25" s="28"/>
    </row>
  </sheetData>
  <mergeCells count="3">
    <mergeCell ref="A22:F22"/>
    <mergeCell ref="A1:J1"/>
    <mergeCell ref="A2:J2"/>
  </mergeCells>
  <hyperlinks>
    <hyperlink ref="H4" r:id="rId1" xr:uid="{00000000-0004-0000-0000-000000000000}"/>
    <hyperlink ref="H5" r:id="rId2" xr:uid="{00000000-0004-0000-0000-000001000000}"/>
    <hyperlink ref="H6" r:id="rId3" xr:uid="{D43C575B-C3BA-FC4A-B0CF-1C0A3AC2B1D5}"/>
    <hyperlink ref="H10" r:id="rId4" xr:uid="{AC4E98B5-4C2F-7C42-8B65-54D7310C9E44}"/>
    <hyperlink ref="H11" r:id="rId5" xr:uid="{BEA097F9-B18F-A944-9F49-B1B037EC4A41}"/>
    <hyperlink ref="H12" r:id="rId6" xr:uid="{AF1597E4-03CF-5D41-A510-B6EE2B8BAEFF}"/>
    <hyperlink ref="H13" r:id="rId7" xr:uid="{B96E6A16-6D74-E042-8268-E1C07A0B3C18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Thomas Campagna</cp:lastModifiedBy>
  <cp:revision>0</cp:revision>
  <dcterms:created xsi:type="dcterms:W3CDTF">2026-04-27T02:01:27Z</dcterms:created>
  <dcterms:modified xsi:type="dcterms:W3CDTF">2026-08-19T06:49:55Z</dcterms:modified>
  <dc:language>en-US</dc:language>
</cp:coreProperties>
</file>